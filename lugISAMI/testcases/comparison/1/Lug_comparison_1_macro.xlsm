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Documents\LugISAMI\Comparison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ISAMI_INPUTS" sheetId="4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T3" i="1" l="1"/>
  <c r="S3" i="1" l="1"/>
  <c r="Q3" i="1"/>
  <c r="P3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<sst xmlns="http://schemas.openxmlformats.org/spreadsheetml/2006/main" count="196" uniqueCount="141">
  <si>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</si>
  <si>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</si>
  <si>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</si>
  <si>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</si>
  <si>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</si>
  <si>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</si>
  <si>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</si>
  <si>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</si>
  <si>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</si>
  <si>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</si>
  <si>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</si>
  <si>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</si>
  <si>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</si>
  <si>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</si>
  <si>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</si>
  <si>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</si>
  <si>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</si>
  <si>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</si>
  <si>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</si>
  <si>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</si>
  <si>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</si>
  <si>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</si>
  <si>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</si>
  <si>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</si>
  <si>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</si>
  <si>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</si>
  <si>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</si>
  <si>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</si>
  <si>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</si>
  <si>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</si>
  <si>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</si>
  <si>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</si>
  <si>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</si>
  <si>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</si>
  <si>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</si>
  <si>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</si>
  <si>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</si>
  <si>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</si>
  <si>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</si>
  <si>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</si>
  <si>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</si>
  <si>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</si>
  <si>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</si>
  <si>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</si>
  <si>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</si>
  <si>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</si>
  <si>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</si>
  <si>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</si>
  <si>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</si>
  <si>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</si>
  <si>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</si>
  <si>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</si>
  <si>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</si>
  <si>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</si>
  <si>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</si>
  <si>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</si>
  <si>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</si>
  <si>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</si>
  <si>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</si>
  <si>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</si>
  <si>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</si>
  <si>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</si>
  <si>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</si>
  <si>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</si>
  <si>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</si>
  <si>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</si>
  <si>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</si>
  <si>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</si>
  <si>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</si>
  <si>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</si>
  <si>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</si>
  <si>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</si>
  <si>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</si>
  <si>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</si>
  <si>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</si>
  <si>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</si>
  <si>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</si>
  <si>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</si>
  <si>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</si>
  <si>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</si>
  <si>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</si>
  <si>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</si>
  <si>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</si>
  <si>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</si>
  <si>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</si>
  <si>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</si>
  <si>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</si>
  <si>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</si>
  <si>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</si>
  <si>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</si>
  <si>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</si>
  <si>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</si>
  <si>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</si>
  <si>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</si>
  <si>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</si>
  <si>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</si>
  <si>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</si>
  <si>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</si>
  <si>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</si>
  <si>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</si>
  <si>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</si>
  <si>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</si>
  <si>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</si>
  <si>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</si>
  <si>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</si>
  <si>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</si>
  <si>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</si>
  <si>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Ruta Archivo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</si>
  <si>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</si>
  <si>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</si>
  <si>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</si>
  <si>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</si>
  <si>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</si>
  <si>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</si>
  <si>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</si>
  <si>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</si>
  <si>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</si>
  <si>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</si>
  <si>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</si>
  <si>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</si>
  <si>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</si>
  <si>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</si>
  <si>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</si>
  <si>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</si>
  <si>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</si>
  <si>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</si>
  <si>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CZM name</t>
  </si>
  <si>
    <t>Python name</t>
  </si>
  <si>
    <t>Ruta CZM</t>
  </si>
  <si>
    <t>Kt</t>
  </si>
  <si>
    <t>INTERNAL DOUBLE SHEAR</t>
  </si>
  <si>
    <t>EXTERNAL DOUBLE SHEAR</t>
  </si>
  <si>
    <t>Lug_B3</t>
  </si>
  <si>
    <t>Al-7050-T7451</t>
  </si>
  <si>
    <t>Al-7175-T7351</t>
  </si>
  <si>
    <t>Rod_FR41_STR4_LHS_Upper</t>
  </si>
  <si>
    <t>Ruta ISAMI</t>
  </si>
  <si>
    <t>Z:\ISAMI_auto</t>
  </si>
  <si>
    <t>Moba</t>
  </si>
  <si>
    <t xml:space="preserve">/CAE/ISAMI/v9.3.0/bin/launchIA.ksh -application isami_derivatives -python </t>
  </si>
  <si>
    <t>C:\Users\lucas.bernacer\Documents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</si>
</sst>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5" borderId="1" xfId="0" applyFill="1" applyBorder="1"/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6</xdr:row>
          <xdr:rowOff>57150</xdr:rowOff>
        </xdr:from>
        <xdr:to>
          <xdr:col>25</xdr:col>
          <xdr:colOff>276225</xdr:colOff>
          <xdr:row>8</xdr:row>
          <xdr:rowOff>66675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15</xdr:row>
          <xdr:rowOff>19050</xdr:rowOff>
        </xdr:from>
        <xdr:to>
          <xdr:col>25</xdr:col>
          <xdr:colOff>304800</xdr:colOff>
          <xdr:row>17</xdr:row>
          <xdr:rowOff>47625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10</xdr:row>
          <xdr:rowOff>114300</xdr:rowOff>
        </xdr:from>
        <xdr:to>
          <xdr:col>25</xdr:col>
          <xdr:colOff>200025</xdr:colOff>
          <xdr:row>12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6"/>
    <col min="7" max="7" width="11.42578125" style="56" customWidth="1"/>
    <col min="8" max="8" width="13.5703125" style="56" customWidth="1"/>
    <col min="9" max="16384" width="11.42578125" style="5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172"/>
  <sheetViews>
    <sheetView tabSelected="1" zoomScale="85" zoomScaleNormal="85" workbookViewId="0">
      <selection activeCell="M3" sqref="M3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24" ht="15" customHeight="1" x14ac:dyDescent="0.25">
      <c r="E1" s="58" t="s">
        <v>14</v>
      </c>
      <c r="F1" s="59"/>
      <c r="G1" s="59"/>
      <c r="H1" s="59"/>
      <c r="I1" s="59"/>
      <c r="J1" s="59"/>
      <c r="K1" s="59"/>
      <c r="L1" s="59"/>
      <c r="M1" s="59"/>
      <c r="N1" s="60"/>
      <c r="O1" s="61" t="s">
        <v>1</v>
      </c>
      <c r="P1" s="62"/>
      <c r="Q1" s="63"/>
      <c r="R1" s="64" t="s">
        <v>3</v>
      </c>
      <c r="S1" s="65"/>
      <c r="T1" s="66"/>
      <c r="U1" s="67" t="s">
        <v>109</v>
      </c>
      <c r="V1" s="69" t="s">
        <v>129</v>
      </c>
    </row>
    <row r="2" spans="1:24" ht="15" customHeight="1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68"/>
      <c r="V2" s="70"/>
    </row>
    <row r="3" spans="1:24" x14ac:dyDescent="0.25">
      <c r="A3" s="3" t="s">
        <v>135</v>
      </c>
      <c r="B3" s="3">
        <v>1000</v>
      </c>
      <c r="C3" s="3">
        <v>70</v>
      </c>
      <c r="D3" s="57">
        <v>0.1</v>
      </c>
      <c r="E3" s="57">
        <v>33.4</v>
      </c>
      <c r="F3" s="57">
        <v>50.400000000000006</v>
      </c>
      <c r="G3" s="57">
        <v>6.6</v>
      </c>
      <c r="H3" s="57">
        <v>11.71</v>
      </c>
      <c r="I3" s="3">
        <v>0</v>
      </c>
      <c r="J3" s="3">
        <v>0</v>
      </c>
      <c r="K3" s="3">
        <v>0</v>
      </c>
      <c r="L3" s="3">
        <v>0</v>
      </c>
      <c r="M3" s="3" t="s">
        <v>108</v>
      </c>
      <c r="N3" s="3" t="s">
        <v>133</v>
      </c>
      <c r="O3" s="3" t="s">
        <v>65</v>
      </c>
      <c r="P3" s="57">
        <f>+INDEX('Bush&amp;Pin_Data'!$B$4:$D$16,MATCH(Analysis!O3,'Bush&amp;Pin_Data'!$B$4:$B$16,0),3)</f>
        <v>6.35</v>
      </c>
      <c r="Q3" s="3" t="str">
        <f>+INDEX('Bush&amp;Pin_Data'!$B$4:$D$16,MATCH(Analysis!O3,'Bush&amp;Pin_Data'!$B$4:$B$16,0),2)</f>
        <v>Ti-6Al-4V</v>
      </c>
      <c r="R3" s="3" t="s">
        <v>67</v>
      </c>
      <c r="S3" s="57">
        <f>+INDEX('Bush&amp;Pin_Data'!$J$4:$L$17,MATCH(R3,'Bush&amp;Pin_Data'!$J$4:$J$17,0),3)</f>
        <v>9.5529399999999995</v>
      </c>
      <c r="T3" s="3" t="str">
        <f>+INDEX('Bush&amp;Pin_Data'!$J$4:$L$17,MATCH(R3,'Bush&amp;Pin_Data'!$J$4:$J$17,0),2)</f>
        <v>Cres-A286</v>
      </c>
      <c r="U3" s="3" t="s">
        <v>110</v>
      </c>
      <c r="V3" s="3"/>
      <c r="X3" s="1" t="s">
        <v>108</v>
      </c>
    </row>
    <row r="4" spans="1:24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X4" s="1" t="s">
        <v>130</v>
      </c>
    </row>
    <row r="5" spans="1:24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X5" s="1" t="s">
        <v>131</v>
      </c>
    </row>
    <row r="6" spans="1:24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4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4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4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4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4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4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3:M172">
      <formula1>$X$3:$X$5</formula1>
    </dataValidation>
    <dataValidation type="list" allowBlank="1" showInputMessage="1" showErrorMessage="1" sqref="U3:U172">
      <formula1>$X$7:$X$9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autoLine="0" r:id="rId5">
            <anchor moveWithCells="1">
              <from>
                <xdr:col>22</xdr:col>
                <xdr:colOff>276225</xdr:colOff>
                <xdr:row>15</xdr:row>
                <xdr:rowOff>19050</xdr:rowOff>
              </from>
              <to>
                <xdr:col>25</xdr:col>
                <xdr:colOff>304800</xdr:colOff>
                <xdr:row>17</xdr:row>
                <xdr:rowOff>47625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autoLine="0" r:id="rId7">
            <anchor moveWithCells="1">
              <from>
                <xdr:col>22</xdr:col>
                <xdr:colOff>219075</xdr:colOff>
                <xdr:row>6</xdr:row>
                <xdr:rowOff>57150</xdr:rowOff>
              </from>
              <to>
                <xdr:col>25</xdr:col>
                <xdr:colOff>276225</xdr:colOff>
                <xdr:row>8</xdr:row>
                <xdr:rowOff>66675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9" r:id="rId8" name="CommandButton3">
          <controlPr defaultSize="0" autoLine="0" r:id="rId9">
            <anchor moveWithCells="1">
              <from>
                <xdr:col>22</xdr:col>
                <xdr:colOff>295275</xdr:colOff>
                <xdr:row>10</xdr:row>
                <xdr:rowOff>114300</xdr:rowOff>
              </from>
              <to>
                <xdr:col>25</xdr:col>
                <xdr:colOff>200025</xdr:colOff>
                <xdr:row>12</xdr:row>
                <xdr:rowOff>171450</xdr:rowOff>
              </to>
            </anchor>
          </controlPr>
        </control>
      </mc:Choice>
      <mc:Fallback>
        <control shapeId="1029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N3:N172</xm:sqref>
        </x14:dataValidation>
        <x14:dataValidation type="list" allowBlank="1" showInputMessage="1" showErrorMessage="1">
          <x14:formula1>
            <xm:f>'Bush&amp;Pin_Data'!$J$4:$J$17</xm:f>
          </x14:formula1>
          <xm:sqref>R3:R172</xm:sqref>
        </x14:dataValidation>
        <x14:dataValidation type="list" allowBlank="1" showInputMessage="1" showErrorMessage="1">
          <x14:formula1>
            <xm:f>'Bush&amp;Pin_Data'!$B$4:$B$13</xm:f>
          </x14:formula1>
          <xm:sqref>O3:O172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1" t="s">
        <v>19</v>
      </c>
      <c r="C3" s="71"/>
      <c r="D3" s="71"/>
      <c r="E3" s="71"/>
      <c r="F3" s="71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111</v>
      </c>
    </row>
    <row r="5" spans="2:6" x14ac:dyDescent="0.25">
      <c r="B5" s="9" t="s">
        <v>124</v>
      </c>
      <c r="C5" s="3" t="s">
        <v>112</v>
      </c>
      <c r="D5" s="3" t="s">
        <v>117</v>
      </c>
      <c r="E5" s="3" t="s">
        <v>116</v>
      </c>
      <c r="F5" s="3" t="s">
        <v>122</v>
      </c>
    </row>
    <row r="6" spans="2:6" x14ac:dyDescent="0.25">
      <c r="B6" s="9" t="s">
        <v>125</v>
      </c>
      <c r="C6" s="3" t="s">
        <v>113</v>
      </c>
      <c r="D6" s="3" t="s">
        <v>123</v>
      </c>
      <c r="E6" s="3" t="s">
        <v>116</v>
      </c>
      <c r="F6" s="3" t="s">
        <v>122</v>
      </c>
    </row>
    <row r="7" spans="2:6" ht="15" customHeight="1" x14ac:dyDescent="0.25">
      <c r="B7" s="9" t="s">
        <v>133</v>
      </c>
      <c r="C7" s="3" t="s">
        <v>114</v>
      </c>
      <c r="D7" s="3" t="s">
        <v>118</v>
      </c>
      <c r="E7" s="3" t="s">
        <v>116</v>
      </c>
      <c r="F7" s="3" t="s">
        <v>120</v>
      </c>
    </row>
    <row r="8" spans="2:6" ht="15" customHeight="1" x14ac:dyDescent="0.25">
      <c r="B8" s="9" t="s">
        <v>134</v>
      </c>
      <c r="C8" s="3" t="s">
        <v>115</v>
      </c>
      <c r="D8" s="3" t="s">
        <v>119</v>
      </c>
      <c r="E8" s="3" t="s">
        <v>116</v>
      </c>
      <c r="F8" s="3" t="s">
        <v>121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I4:J12"/>
  <sheetViews>
    <sheetView topLeftCell="F1" workbookViewId="0">
      <selection activeCell="J20" sqref="J20"/>
    </sheetView>
  </sheetViews>
  <sheetFormatPr baseColWidth="10" defaultColWidth="11.42578125" defaultRowHeight="15" x14ac:dyDescent="0.25"/>
  <cols>
    <col min="7" max="7" width="18.140625" customWidth="1"/>
    <col min="9" max="9" width="15.42578125" bestFit="1" customWidth="1"/>
    <col min="10" max="10" width="69.5703125" bestFit="1" customWidth="1"/>
  </cols>
  <sheetData>
    <row r="4" spans="9:10" x14ac:dyDescent="0.25">
      <c r="I4" s="55" t="s">
        <v>107</v>
      </c>
      <c r="J4" s="2" t="s">
        <v>140</v>
      </c>
    </row>
    <row r="5" spans="9:10" x14ac:dyDescent="0.25">
      <c r="I5" s="55" t="s">
        <v>126</v>
      </c>
      <c r="J5" s="2" t="s">
        <v>132</v>
      </c>
    </row>
    <row r="6" spans="9:10" x14ac:dyDescent="0.25">
      <c r="I6" s="55" t="s">
        <v>127</v>
      </c>
      <c r="J6" s="2" t="s">
        <v>132</v>
      </c>
    </row>
    <row r="8" spans="9:10" x14ac:dyDescent="0.25">
      <c r="I8" s="55" t="s">
        <v>128</v>
      </c>
      <c r="J8" s="2" t="s">
        <v>140</v>
      </c>
    </row>
    <row r="9" spans="9:10" x14ac:dyDescent="0.25">
      <c r="J9" s="32"/>
    </row>
    <row r="10" spans="9:10" x14ac:dyDescent="0.25">
      <c r="I10" s="55" t="s">
        <v>136</v>
      </c>
      <c r="J10" s="2" t="s">
        <v>137</v>
      </c>
    </row>
    <row r="12" spans="9:10" x14ac:dyDescent="0.25">
      <c r="I12" s="55" t="s">
        <v>138</v>
      </c>
      <c r="J12" s="2" t="s">
        <v>139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6" t="s">
        <v>26</v>
      </c>
      <c r="C1" s="77"/>
      <c r="D1" s="77"/>
      <c r="E1" s="77"/>
      <c r="F1" s="77"/>
      <c r="G1" s="78"/>
      <c r="H1" s="76" t="s">
        <v>27</v>
      </c>
      <c r="I1" s="78"/>
      <c r="J1" s="76" t="s">
        <v>28</v>
      </c>
      <c r="K1" s="77"/>
      <c r="L1" s="77"/>
      <c r="M1" s="78"/>
      <c r="N1" s="76" t="s">
        <v>29</v>
      </c>
      <c r="O1" s="77"/>
      <c r="P1" s="77"/>
      <c r="Q1" s="77"/>
      <c r="R1" s="77"/>
      <c r="S1" s="77"/>
      <c r="T1" s="77"/>
    </row>
    <row r="2" spans="1:20" ht="30" x14ac:dyDescent="0.25">
      <c r="A2" s="10" t="s">
        <v>30</v>
      </c>
      <c r="B2" s="79" t="s">
        <v>31</v>
      </c>
      <c r="C2" s="72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79" t="s">
        <v>37</v>
      </c>
      <c r="I2" s="9" t="s">
        <v>38</v>
      </c>
      <c r="J2" s="79" t="s">
        <v>39</v>
      </c>
      <c r="K2" s="72" t="s">
        <v>32</v>
      </c>
      <c r="L2" s="9" t="s">
        <v>40</v>
      </c>
      <c r="M2" s="9" t="s">
        <v>41</v>
      </c>
      <c r="N2" s="79" t="s">
        <v>42</v>
      </c>
      <c r="O2" s="72" t="s">
        <v>43</v>
      </c>
      <c r="P2" s="72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79"/>
      <c r="C3" s="72"/>
      <c r="D3" s="9" t="s">
        <v>48</v>
      </c>
      <c r="E3" s="11" t="s">
        <v>49</v>
      </c>
      <c r="F3" s="11" t="s">
        <v>50</v>
      </c>
      <c r="G3" s="11" t="s">
        <v>51</v>
      </c>
      <c r="H3" s="79"/>
      <c r="I3" s="9" t="s">
        <v>52</v>
      </c>
      <c r="J3" s="79"/>
      <c r="K3" s="72"/>
      <c r="L3" s="9" t="s">
        <v>53</v>
      </c>
      <c r="M3" s="9" t="s">
        <v>54</v>
      </c>
      <c r="N3" s="79"/>
      <c r="O3" s="72"/>
      <c r="P3" s="72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3"/>
      <c r="B4" s="9" t="s">
        <v>59</v>
      </c>
      <c r="C4" s="9" t="s">
        <v>124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125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4"/>
      <c r="B5" s="9" t="s">
        <v>65</v>
      </c>
      <c r="C5" s="9" t="s">
        <v>124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125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4"/>
      <c r="B6" s="9" t="s">
        <v>69</v>
      </c>
      <c r="C6" s="9" t="s">
        <v>124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125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4"/>
      <c r="B7" s="9" t="s">
        <v>73</v>
      </c>
      <c r="C7" s="9" t="s">
        <v>124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125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4"/>
      <c r="B8" s="9" t="s">
        <v>77</v>
      </c>
      <c r="C8" s="9" t="s">
        <v>124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125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4"/>
      <c r="B9" s="9" t="s">
        <v>81</v>
      </c>
      <c r="C9" s="9" t="s">
        <v>124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125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4"/>
      <c r="B10" s="9" t="s">
        <v>85</v>
      </c>
      <c r="C10" s="9" t="s">
        <v>124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125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4"/>
      <c r="B11" s="9" t="s">
        <v>89</v>
      </c>
      <c r="C11" s="9" t="s">
        <v>124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125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4"/>
      <c r="B12" s="9" t="s">
        <v>93</v>
      </c>
      <c r="C12" s="9" t="s">
        <v>124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125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4"/>
      <c r="B13" s="16" t="s">
        <v>101</v>
      </c>
      <c r="C13" s="9" t="s">
        <v>125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125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4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125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4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125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4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125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4"/>
      <c r="H17" s="11" t="s">
        <v>102</v>
      </c>
      <c r="I17" s="11">
        <v>2.7690000000000001</v>
      </c>
      <c r="J17" s="19" t="s">
        <v>104</v>
      </c>
      <c r="K17" s="9" t="s">
        <v>125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4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4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4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5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Analysis</vt:lpstr>
      <vt:lpstr>Materials</vt:lpstr>
      <vt:lpstr>ISAMI_INPUTS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2021-03-30T05:30:10Z</dcterms:modified>
</cp:coreProperties>
</file>