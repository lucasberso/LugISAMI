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testcases\"/>
    </mc:Choice>
  </mc:AlternateContent>
  <bookViews>
    <workbookView xWindow="0" yWindow="45" windowWidth="10905" windowHeight="9690" activeTab="1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5" i="1" l="1"/>
  <c r="S5" i="1"/>
  <c r="Q5" i="1"/>
  <c r="Q4" i="1"/>
  <c r="S4" i="1"/>
  <c r="T4" i="1"/>
  <c r="P5" i="1"/>
  <c r="P4" i="1" l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<sst xmlns="http://schemas.openxmlformats.org/spreadsheetml/2006/main" count="220" uniqueCount="160">
  <si>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</si>
  <si>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</si>
  <si>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</si>
  <si>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</si>
  <si>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</si>
  <si>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</si>
  <si>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</si>
  <si>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</si>
  <si>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</si>
  <si>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</si>
  <si>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</si>
  <si>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</si>
  <si>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</si>
  <si>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</si>
  <si>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</si>
  <si>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</si>
  <si>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</si>
  <si>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</si>
  <si>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</si>
  <si>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</si>
  <si>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</si>
  <si>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</si>
  <si>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</si>
  <si>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</si>
  <si>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</si>
  <si>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</si>
  <si>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</si>
  <si>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</si>
  <si>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</si>
  <si>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</si>
  <si>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</si>
  <si>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</si>
  <si>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</si>
  <si>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</si>
  <si>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</si>
  <si>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</si>
  <si>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</si>
  <si>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</si>
  <si>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</si>
  <si>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</si>
  <si>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</si>
  <si>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</si>
  <si>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</si>
  <si>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</si>
  <si>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</si>
  <si>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</si>
  <si>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</si>
  <si>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</si>
  <si>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</si>
  <si>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</si>
  <si>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</si>
  <si>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</si>
  <si>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</si>
  <si>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</si>
  <si>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</si>
  <si>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</si>
  <si>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</si>
  <si>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</si>
  <si>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</si>
  <si>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</si>
  <si>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</si>
  <si>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</si>
  <si>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</si>
  <si>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</si>
  <si>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</si>
  <si>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</si>
  <si>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</si>
  <si>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</si>
  <si>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</si>
  <si>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</si>
  <si>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</si>
  <si>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</si>
  <si>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</si>
  <si>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</si>
  <si>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</si>
  <si>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</si>
  <si>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</si>
  <si>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</si>
  <si>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</si>
  <si>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</si>
  <si>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</si>
  <si>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</si>
  <si>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</si>
  <si>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</si>
  <si>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</si>
  <si>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</si>
  <si>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</si>
  <si>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</si>
  <si>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</si>
  <si>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</si>
  <si>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</si>
  <si>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</si>
  <si>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</si>
  <si>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</si>
  <si>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</si>
  <si>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</si>
  <si>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</si>
  <si>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</si>
  <si>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</si>
  <si>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</si>
  <si>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</si>
  <si>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</si>
  <si>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</si>
  <si>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</si>
  <si>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</si>
  <si>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</si>
  <si>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</si>
  <si>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Ruta Archivo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</si>
  <si>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</si>
  <si>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</si>
  <si>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</si>
  <si>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</si>
  <si>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</si>
  <si>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</si>
  <si>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</si>
  <si>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</si>
  <si>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</si>
  <si>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</si>
  <si>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</si>
  <si>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</si>
  <si>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</si>
  <si>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</si>
  <si>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</si>
  <si>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</si>
  <si>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</si>
  <si>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CZM name</t>
  </si>
  <si>
    <t>Python name</t>
  </si>
  <si>
    <t>Ruta CZM</t>
  </si>
  <si>
    <t>Kt</t>
  </si>
  <si>
    <t>INTERNAL DOUBLE SHEAR</t>
  </si>
  <si>
    <t>Lug_B3</t>
  </si>
  <si>
    <t>Al-7050-T7451</t>
  </si>
  <si>
    <t>Al-7175-T7351</t>
  </si>
  <si>
    <t>Rod_FR41_STR4_LHS_Upper</t>
  </si>
  <si>
    <t>Ruta ISAMI</t>
  </si>
  <si>
    <t>Z:\ISAMI_auto</t>
  </si>
  <si>
    <t>Moba</t>
  </si>
  <si>
    <t xml:space="preserve">/CAE/ISAMI/v9.3.0/bin/launchIA.ksh -application isami_derivatives -python </t>
  </si>
  <si>
    <t>C:\Users\frsanchezmoreno\Documents</t>
  </si>
  <si>
    <t>/PinOffsetX</t>
  </si>
  <si>
    <t>/PinOffsetY</t>
  </si>
  <si>
    <t>/Width</t>
  </si>
  <si>
    <t>/Length</t>
  </si>
  <si>
    <t>/Thick</t>
  </si>
  <si>
    <t>/ThickUnstudied</t>
  </si>
  <si>
    <t>/SuperiorAngle</t>
  </si>
  <si>
    <t>/InferiorAngle</t>
  </si>
  <si>
    <t>/StructureMaterial</t>
  </si>
  <si>
    <t>/ShearType</t>
  </si>
  <si>
    <t>/LoadingRatio</t>
  </si>
  <si>
    <t>/LugResultantForce</t>
  </si>
  <si>
    <t>/LugResultantAngle</t>
  </si>
  <si>
    <t>/Diameter</t>
  </si>
  <si>
    <t>/Material</t>
  </si>
  <si>
    <t>/BushExternalDiameter</t>
  </si>
  <si>
    <t>/BushMaterial</t>
  </si>
  <si>
    <t>Standar Bush</t>
  </si>
  <si>
    <t>Standar Pin</t>
  </si>
  <si>
    <t>/Orientation_init</t>
  </si>
  <si>
    <t>Rod_asdfasdf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</si>
</sst>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6"/>
    <col min="7" max="7" width="11.42578125" style="56" customWidth="1"/>
    <col min="8" max="8" width="13.5703125" style="56" customWidth="1"/>
    <col min="9" max="16384" width="11.42578125" style="5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5"/>
  <sheetViews>
    <sheetView tabSelected="1" zoomScale="85" zoomScaleNormal="85" workbookViewId="0">
      <selection activeCell="A4" sqref="A4"/>
    </sheetView>
  </sheetViews>
  <sheetFormatPr baseColWidth="10" defaultColWidth="11.42578125" defaultRowHeight="15" x14ac:dyDescent="0.25"/>
  <cols>
    <col min="1" max="1" width="29.7109375" style="1" customWidth="1"/>
    <col min="2" max="2" width="16.85546875" style="1" bestFit="1" customWidth="1"/>
    <col min="3" max="3" width="17" style="1" bestFit="1" customWidth="1"/>
    <col min="4" max="4" width="16.140625" style="1" customWidth="1"/>
    <col min="5" max="5" width="7.7109375" style="1" bestFit="1" customWidth="1"/>
    <col min="6" max="6" width="6.7109375" style="1" bestFit="1" customWidth="1"/>
    <col min="7" max="7" width="7.85546875" style="1" bestFit="1" customWidth="1"/>
    <col min="8" max="8" width="10.85546875" style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20.42578125" style="1" bestFit="1" customWidth="1"/>
    <col min="20" max="20" width="13.85546875" style="1" customWidth="1"/>
    <col min="21" max="21" width="14.85546875" style="1" bestFit="1" customWidth="1"/>
    <col min="22" max="23" width="11.42578125" style="1"/>
    <col min="24" max="24" width="14.5703125" style="1" customWidth="1"/>
    <col min="25" max="16384" width="11.42578125" style="1"/>
  </cols>
  <sheetData>
    <row r="1" spans="1:22" ht="15" customHeight="1" x14ac:dyDescent="0.25">
      <c r="E1" s="61" t="s">
        <v>14</v>
      </c>
      <c r="F1" s="62"/>
      <c r="G1" s="62"/>
      <c r="H1" s="62"/>
      <c r="I1" s="62"/>
      <c r="J1" s="62"/>
      <c r="K1" s="62"/>
      <c r="L1" s="62"/>
      <c r="M1" s="62"/>
      <c r="N1" s="63"/>
      <c r="O1" s="64" t="s">
        <v>1</v>
      </c>
      <c r="P1" s="65"/>
      <c r="Q1" s="66"/>
      <c r="R1" s="67" t="s">
        <v>3</v>
      </c>
      <c r="S1" s="68"/>
      <c r="T1" s="69"/>
      <c r="U1" s="70" t="s">
        <v>108</v>
      </c>
      <c r="V1" s="72" t="s">
        <v>128</v>
      </c>
    </row>
    <row r="2" spans="1:22" ht="15" customHeight="1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1"/>
      <c r="V2" s="73"/>
    </row>
    <row r="3" spans="1:22" ht="15" customHeight="1" x14ac:dyDescent="0.25">
      <c r="A3" s="8" t="s">
        <v>4</v>
      </c>
      <c r="B3" s="60" t="s">
        <v>150</v>
      </c>
      <c r="C3" s="60" t="s">
        <v>151</v>
      </c>
      <c r="D3" s="60" t="s">
        <v>149</v>
      </c>
      <c r="E3" s="6" t="s">
        <v>141</v>
      </c>
      <c r="F3" s="6" t="s">
        <v>142</v>
      </c>
      <c r="G3" s="6" t="s">
        <v>143</v>
      </c>
      <c r="H3" s="6" t="s">
        <v>144</v>
      </c>
      <c r="I3" s="6" t="s">
        <v>139</v>
      </c>
      <c r="J3" s="6" t="s">
        <v>140</v>
      </c>
      <c r="K3" s="6" t="s">
        <v>145</v>
      </c>
      <c r="L3" s="6" t="s">
        <v>146</v>
      </c>
      <c r="M3" s="6" t="s">
        <v>148</v>
      </c>
      <c r="N3" s="6" t="s">
        <v>147</v>
      </c>
      <c r="O3" s="5" t="s">
        <v>157</v>
      </c>
      <c r="P3" s="5" t="s">
        <v>152</v>
      </c>
      <c r="Q3" s="5" t="s">
        <v>153</v>
      </c>
      <c r="R3" s="7" t="s">
        <v>156</v>
      </c>
      <c r="S3" s="7" t="s">
        <v>154</v>
      </c>
      <c r="T3" s="7" t="s">
        <v>155</v>
      </c>
      <c r="U3" s="58" t="s">
        <v>158</v>
      </c>
      <c r="V3" s="59"/>
    </row>
    <row r="4" spans="1:22" x14ac:dyDescent="0.25">
      <c r="A4" s="3" t="s">
        <v>133</v>
      </c>
      <c r="B4" s="3">
        <v>1000</v>
      </c>
      <c r="C4" s="3">
        <v>70</v>
      </c>
      <c r="D4" s="57">
        <v>0.1</v>
      </c>
      <c r="E4" s="57">
        <v>33.4</v>
      </c>
      <c r="F4" s="57">
        <v>50.400000000000006</v>
      </c>
      <c r="G4" s="57">
        <v>6.6</v>
      </c>
      <c r="H4" s="57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129</v>
      </c>
      <c r="N4" s="3" t="s">
        <v>131</v>
      </c>
      <c r="O4" s="3" t="s">
        <v>65</v>
      </c>
      <c r="P4" s="57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7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</row>
    <row r="5" spans="1:22" x14ac:dyDescent="0.25">
      <c r="A5" s="3" t="s">
        <v>159</v>
      </c>
      <c r="B5" s="3">
        <v>1000</v>
      </c>
      <c r="C5" s="3">
        <v>70</v>
      </c>
      <c r="D5" s="57">
        <v>0.1</v>
      </c>
      <c r="E5" s="57">
        <v>33.4</v>
      </c>
      <c r="F5" s="57">
        <v>50.400000000000006</v>
      </c>
      <c r="G5" s="57">
        <v>6.6</v>
      </c>
      <c r="H5" s="57">
        <v>11.71</v>
      </c>
      <c r="I5" s="3">
        <v>0</v>
      </c>
      <c r="J5" s="3">
        <v>0</v>
      </c>
      <c r="K5" s="3">
        <v>0</v>
      </c>
      <c r="L5" s="3">
        <v>0</v>
      </c>
      <c r="M5" s="3" t="s">
        <v>129</v>
      </c>
      <c r="N5" s="3" t="s">
        <v>131</v>
      </c>
      <c r="O5" s="3" t="s">
        <v>93</v>
      </c>
      <c r="P5" s="57">
        <f>+INDEX('Bush&amp;Pin_Data'!$B$4:$D$16,MATCH(Analysis!O5,'Bush&amp;Pin_Data'!$B$4:$B$16,0),3)</f>
        <v>19.049999999999997</v>
      </c>
      <c r="Q5" s="3" t="str">
        <f>+INDEX('Bush&amp;Pin_Data'!$B$4:$D$16,MATCH(Analysis!O5,'Bush&amp;Pin_Data'!$B$4:$B$16,0),2)</f>
        <v>Ti-6Al-4V</v>
      </c>
      <c r="R5" s="3" t="s">
        <v>79</v>
      </c>
      <c r="S5" s="57">
        <f>+INDEX('Bush&amp;Pin_Data'!$J$4:$L$17,MATCH(R5,'Bush&amp;Pin_Data'!$J$4:$J$17,0),3)</f>
        <v>14.320519999999998</v>
      </c>
      <c r="T5" s="3" t="str">
        <f>+INDEX('Bush&amp;Pin_Data'!$J$4:$L$17,MATCH(R5,'Bush&amp;Pin_Data'!$J$4:$J$17,0),2)</f>
        <v>Cres-A286</v>
      </c>
      <c r="U5" s="3" t="s">
        <v>109</v>
      </c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4:M5">
      <formula1>$X$4:$X$4</formula1>
    </dataValidation>
    <dataValidation type="list" allowBlank="1" showInputMessage="1" showErrorMessage="1" sqref="U4:U5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N4:N5</xm:sqref>
        </x14:dataValidation>
        <x14:dataValidation type="list" allowBlank="1" showInputMessage="1" showErrorMessage="1">
          <x14:formula1>
            <xm:f>'Bush&amp;Pin_Data'!$J$4:$J$17</xm:f>
          </x14:formula1>
          <xm:sqref>R4:R5</xm:sqref>
        </x14:dataValidation>
        <x14:dataValidation type="list" allowBlank="1" showInputMessage="1" showErrorMessage="1">
          <x14:formula1>
            <xm:f>'Bush&amp;Pin_Data'!$B$4:$B$13</xm:f>
          </x14:formula1>
          <xm:sqref>O4:O5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I28" sqref="I2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4" t="s">
        <v>19</v>
      </c>
      <c r="C3" s="74"/>
      <c r="D3" s="74"/>
      <c r="E3" s="74"/>
      <c r="F3" s="74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131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132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opLeftCell="F1" workbookViewId="0">
      <selection activeCell="J18" sqref="J18"/>
    </sheetView>
  </sheetViews>
  <sheetFormatPr baseColWidth="10" defaultColWidth="11.42578125" defaultRowHeight="15" x14ac:dyDescent="0.25"/>
  <cols>
    <col min="7" max="7" width="18.140625" customWidth="1"/>
    <col min="9" max="9" width="15.42578125" bestFit="1" customWidth="1"/>
    <col min="10" max="10" width="69.5703125" bestFit="1" customWidth="1"/>
  </cols>
  <sheetData>
    <row r="4" spans="9:10" x14ac:dyDescent="0.25">
      <c r="I4" s="55" t="s">
        <v>107</v>
      </c>
      <c r="J4" s="2" t="s">
        <v>138</v>
      </c>
    </row>
    <row r="5" spans="9:10" x14ac:dyDescent="0.25">
      <c r="I5" s="55" t="s">
        <v>125</v>
      </c>
      <c r="J5" s="2" t="s">
        <v>130</v>
      </c>
    </row>
    <row r="6" spans="9:10" x14ac:dyDescent="0.25">
      <c r="I6" s="55" t="s">
        <v>126</v>
      </c>
      <c r="J6" s="2" t="s">
        <v>130</v>
      </c>
    </row>
    <row r="8" spans="9:10" x14ac:dyDescent="0.25">
      <c r="I8" s="55" t="s">
        <v>127</v>
      </c>
      <c r="J8" s="2" t="s">
        <v>138</v>
      </c>
    </row>
    <row r="9" spans="9:10" x14ac:dyDescent="0.25">
      <c r="J9" s="32"/>
    </row>
    <row r="10" spans="9:10" x14ac:dyDescent="0.25">
      <c r="I10" s="55" t="s">
        <v>134</v>
      </c>
      <c r="J10" s="2" t="s">
        <v>135</v>
      </c>
    </row>
    <row r="12" spans="9:10" x14ac:dyDescent="0.25">
      <c r="I12" s="55" t="s">
        <v>136</v>
      </c>
      <c r="J12" s="2" t="s">
        <v>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9" t="s">
        <v>26</v>
      </c>
      <c r="C1" s="80"/>
      <c r="D1" s="80"/>
      <c r="E1" s="80"/>
      <c r="F1" s="80"/>
      <c r="G1" s="81"/>
      <c r="H1" s="79" t="s">
        <v>27</v>
      </c>
      <c r="I1" s="81"/>
      <c r="J1" s="79" t="s">
        <v>28</v>
      </c>
      <c r="K1" s="80"/>
      <c r="L1" s="80"/>
      <c r="M1" s="81"/>
      <c r="N1" s="79" t="s">
        <v>29</v>
      </c>
      <c r="O1" s="80"/>
      <c r="P1" s="80"/>
      <c r="Q1" s="80"/>
      <c r="R1" s="80"/>
      <c r="S1" s="80"/>
      <c r="T1" s="80"/>
    </row>
    <row r="2" spans="1:20" ht="30" x14ac:dyDescent="0.25">
      <c r="A2" s="10" t="s">
        <v>30</v>
      </c>
      <c r="B2" s="82" t="s">
        <v>31</v>
      </c>
      <c r="C2" s="75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2" t="s">
        <v>37</v>
      </c>
      <c r="I2" s="9" t="s">
        <v>38</v>
      </c>
      <c r="J2" s="82" t="s">
        <v>39</v>
      </c>
      <c r="K2" s="75" t="s">
        <v>32</v>
      </c>
      <c r="L2" s="9" t="s">
        <v>40</v>
      </c>
      <c r="M2" s="9" t="s">
        <v>41</v>
      </c>
      <c r="N2" s="82" t="s">
        <v>42</v>
      </c>
      <c r="O2" s="75" t="s">
        <v>43</v>
      </c>
      <c r="P2" s="75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2"/>
      <c r="C3" s="75"/>
      <c r="D3" s="9" t="s">
        <v>48</v>
      </c>
      <c r="E3" s="11" t="s">
        <v>49</v>
      </c>
      <c r="F3" s="11" t="s">
        <v>50</v>
      </c>
      <c r="G3" s="11" t="s">
        <v>51</v>
      </c>
      <c r="H3" s="82"/>
      <c r="I3" s="9" t="s">
        <v>52</v>
      </c>
      <c r="J3" s="82"/>
      <c r="K3" s="75"/>
      <c r="L3" s="9" t="s">
        <v>53</v>
      </c>
      <c r="M3" s="9" t="s">
        <v>54</v>
      </c>
      <c r="N3" s="82"/>
      <c r="O3" s="75"/>
      <c r="P3" s="75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6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7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7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7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7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7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7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7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7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7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7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7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7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7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7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7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7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8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2021-03-29T10:52:48Z</dcterms:modified>
</cp:coreProperties>
</file>