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.bernacer\PycharmProjects\LugISAMI\lugISAMI\test\testcases\comparison\3\"/>
    </mc:Choice>
  </mc:AlternateContent>
  <bookViews>
    <workbookView xWindow="0" yWindow="0" windowWidth="28800" windowHeight="12300" activeTab="1"/>
  </bookViews>
  <sheets>
    <sheet name="Instrucciones" sheetId="6" r:id="rId1"/>
    <sheet name="Analysis" sheetId="1" r:id="rId2"/>
    <sheet name="Materials" sheetId="2" r:id="rId3"/>
    <sheet name="Bush&amp;Pin_Data" sheetId="5" r:id="rId4"/>
  </sheets>
  <externalReferences>
    <externalReference r:id="rId5"/>
    <externalReference r:id="rId6"/>
    <externalReference r:id="rId7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</workbook>
</file>

<file path=xl/calcChain.xml><?xml version="1.0" encoding="utf-8"?>
<calcChain xmlns="http://schemas.openxmlformats.org/spreadsheetml/2006/main">
  <c r="P5" i="1" l="1"/>
  <c r="Q5" i="1"/>
  <c r="S5" i="1"/>
  <c r="T5" i="1"/>
  <c r="P6" i="1"/>
  <c r="Q6" i="1"/>
  <c r="S6" i="1"/>
  <c r="T6" i="1"/>
  <c r="P4" i="1"/>
  <c r="Q4" i="1"/>
  <c r="S4" i="1"/>
  <c r="T4" i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<sst xmlns="http://schemas.openxmlformats.org/spreadsheetml/2006/main" count="217" uniqueCount="153">
  <si>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</si>
  <si>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</si>
  <si>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</si>
  <si>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</si>
  <si>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</si>
  <si>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</si>
  <si>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</si>
  <si>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</si>
  <si>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</si>
  <si>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</si>
  <si>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</si>
  <si>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</si>
  <si>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</si>
  <si>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</si>
  <si>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</si>
  <si>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</si>
  <si>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</si>
  <si>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</si>
  <si>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</si>
  <si>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</si>
  <si>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</si>
  <si>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</si>
  <si>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</si>
  <si>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</si>
  <si>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</si>
  <si>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</si>
  <si>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</si>
  <si>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</si>
  <si>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</si>
  <si>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</si>
  <si>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</si>
  <si>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</si>
  <si>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</si>
  <si>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</si>
  <si>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</si>
  <si>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</si>
  <si>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</si>
  <si>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</si>
  <si>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</si>
  <si>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</si>
  <si>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</si>
  <si>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</si>
  <si>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</si>
  <si>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</si>
  <si>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</si>
  <si>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</si>
  <si>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</si>
  <si>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</si>
  <si>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</si>
  <si>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</si>
  <si>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</si>
  <si>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</si>
  <si>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</si>
  <si>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</si>
  <si>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</si>
  <si>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</si>
  <si>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</si>
  <si>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</si>
  <si>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</si>
  <si>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</si>
  <si>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</si>
  <si>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</si>
  <si>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</si>
  <si>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</si>
  <si>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</si>
  <si>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</si>
  <si>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</si>
  <si>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</si>
  <si>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</si>
  <si>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</si>
  <si>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</si>
  <si>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</si>
  <si>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</si>
  <si>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</si>
  <si>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</si>
  <si>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</si>
  <si>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</si>
  <si>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</si>
  <si>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</si>
  <si>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</si>
  <si>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</si>
  <si>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</si>
  <si>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</si>
  <si>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</si>
  <si>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</si>
  <si>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</si>
  <si>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</si>
  <si>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</si>
  <si>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</si>
  <si>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</si>
  <si>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</si>
  <si>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</si>
  <si>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</si>
  <si>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</si>
  <si>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</si>
  <si>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</si>
  <si>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</si>
  <si>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</si>
  <si>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</si>
  <si>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</si>
  <si>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</si>
  <si>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</si>
  <si>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</si>
  <si>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</si>
  <si>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</si>
  <si>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</si>
  <si>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</si>
  <si>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SINGLE SHEAR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</si>
  <si>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</si>
  <si>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</si>
  <si>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</si>
  <si>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</si>
  <si>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</si>
  <si>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</si>
  <si>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</si>
  <si>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</si>
  <si>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</si>
  <si>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</si>
  <si>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</si>
  <si>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</si>
  <si>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</si>
  <si>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</si>
  <si>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</si>
  <si>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</si>
  <si>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</si>
  <si>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Kt</t>
  </si>
  <si>
    <t>EXTERNAL DOUBLE SHEAR</t>
  </si>
  <si>
    <t>Al-7050-T7451</t>
  </si>
  <si>
    <t>Al-7175-T7351</t>
  </si>
  <si>
    <t>Rod_FR41_STR4_LHS_Upper</t>
  </si>
  <si>
    <t>/LugResultantForce</t>
  </si>
  <si>
    <t>/LugResultantAngle</t>
  </si>
  <si>
    <t>/LoadingRatio</t>
  </si>
  <si>
    <t>/Width</t>
  </si>
  <si>
    <t>/Length</t>
  </si>
  <si>
    <t>/Thick</t>
  </si>
  <si>
    <t>/ThickUnstudied</t>
  </si>
  <si>
    <t>/PinOffsetX</t>
  </si>
  <si>
    <t>/PinOffsetY</t>
  </si>
  <si>
    <t>/SuperiorAngle</t>
  </si>
  <si>
    <t>/InferiorAngle</t>
  </si>
  <si>
    <t>/ShearType</t>
  </si>
  <si>
    <t>/StructureMaterial</t>
  </si>
  <si>
    <t>Standar Pin</t>
  </si>
  <si>
    <t>/Diameter</t>
  </si>
  <si>
    <t>/Material</t>
  </si>
  <si>
    <t>Standar Bush</t>
  </si>
  <si>
    <t>/BushExternalDiameter</t>
  </si>
  <si>
    <t>/BushMaterial</t>
  </si>
  <si>
    <t>/Orientation_init</t>
  </si>
  <si>
    <t>INTERNAL DOUBLE SHEAR</t>
  </si>
  <si>
    <t>Rod_FR41_STR4_LHS_Middle</t>
  </si>
  <si>
    <t>Rod_FR41_STR4_LHS_Lower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</si>
</sst>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4">
    <xf numFmtId="0" fontId="0" fillId="0" borderId="0"/>
    <xf numFmtId="0" fontId="1" fillId="0" borderId="0"/>
    <xf numFmtId="0" fontId="2" fillId="10" borderId="0" applyNumberFormat="0" applyBorder="0" applyAlignment="0" applyProtection="0"/>
    <xf numFmtId="2" fontId="3" fillId="12" borderId="9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3" borderId="8" applyNumberFormat="0" applyBorder="0" applyAlignment="0">
      <alignment horizontal="center" vertical="center"/>
    </xf>
    <xf numFmtId="2" fontId="15" fillId="11" borderId="10">
      <alignment horizontal="center" vertical="center" wrapText="1"/>
    </xf>
  </cellStyleXfs>
  <cellXfs count="8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0" borderId="1" xfId="0" quotePrefix="1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/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3" xfId="0" applyFill="1" applyBorder="1" applyAlignment="1">
      <alignment horizontal="center"/>
    </xf>
    <xf numFmtId="0" fontId="0" fillId="14" borderId="0" xfId="0" applyFill="1"/>
    <xf numFmtId="2" fontId="0" fillId="0" borderId="1" xfId="0" applyNumberFormat="1" applyBorder="1" applyAlignment="1">
      <alignment horizontal="center"/>
    </xf>
    <xf numFmtId="0" fontId="0" fillId="9" borderId="13" xfId="0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9525</xdr:rowOff>
    </xdr:from>
    <xdr:to>
      <xdr:col>8</xdr:col>
      <xdr:colOff>628650</xdr:colOff>
      <xdr:row>19</xdr:row>
      <xdr:rowOff>58894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62025"/>
          <a:ext cx="6086475" cy="27163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38100</xdr:rowOff>
    </xdr:from>
    <xdr:to>
      <xdr:col>16</xdr:col>
      <xdr:colOff>438150</xdr:colOff>
      <xdr:row>21</xdr:row>
      <xdr:rowOff>76200</xdr:rowOff>
    </xdr:to>
    <xdr:sp macro="" textlink="">
      <xdr:nvSpPr>
        <xdr:cNvPr id="3" name="2 CuadroTexto"/>
        <xdr:cNvSpPr txBox="1"/>
      </xdr:nvSpPr>
      <xdr:spPr>
        <a:xfrm>
          <a:off x="6991350" y="609600"/>
          <a:ext cx="563880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ANALYSIS LUGs ISAMI (Generador de Kt's)</a:t>
          </a:r>
        </a:p>
        <a:p>
          <a:endParaRPr lang="en-US" sz="1100"/>
        </a:p>
        <a:p>
          <a:r>
            <a:rPr lang="en-US" sz="1100"/>
            <a:t>1. En</a:t>
          </a:r>
          <a:r>
            <a:rPr lang="en-US" sz="1100" baseline="0"/>
            <a:t> la pestaña ISAMI_Inputs, rellenar los datos de Ruta (donde se generara el archivo *.py), CZM (Nombre del archivo de ISAMI),  Python (Nombre del archivo de python que se genera en la carpeta de Ruta).</a:t>
          </a:r>
        </a:p>
        <a:p>
          <a:endParaRPr lang="en-US" sz="1100" baseline="0"/>
        </a:p>
        <a:p>
          <a:r>
            <a:rPr lang="en-US" sz="1100" baseline="0"/>
            <a:t>2. En la pestaña Analysis rellenar la geometria, el material, pin y bush. La foto de la izquierda muestra los parametros  geometricos.</a:t>
          </a:r>
        </a:p>
        <a:p>
          <a:endParaRPr lang="en-US" sz="1100" baseline="0"/>
        </a:p>
        <a:p>
          <a:r>
            <a:rPr lang="en-US" sz="1100" baseline="0"/>
            <a:t>3. Pulsar  el botón "</a:t>
          </a:r>
          <a:r>
            <a:rPr lang="en-US" sz="1100" b="1" baseline="0"/>
            <a:t>Generar ISAMI's</a:t>
          </a:r>
          <a:r>
            <a:rPr lang="en-US" sz="1100" baseline="0"/>
            <a:t>" en la pestaña Analysis.</a:t>
          </a:r>
        </a:p>
        <a:p>
          <a:endParaRPr lang="en-US" sz="1100" baseline="0"/>
        </a:p>
        <a:p>
          <a:r>
            <a:rPr lang="en-US" sz="1100" baseline="0"/>
            <a:t>4. El archivo generado *.py llevarlo a la consola Python de de ISAMI y correrlo.</a:t>
          </a:r>
        </a:p>
        <a:p>
          <a:endParaRPr lang="en-US" sz="1100" baseline="0"/>
        </a:p>
        <a:p>
          <a:r>
            <a:rPr lang="en-US" sz="1100" baseline="0"/>
            <a:t>5. Copiar  el archivo con extension  "czm"  en la carpeta donde esta la hoja Excel.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Pulsar el  botón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Obtener Kt's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en la pestaña Analysis.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En la columna Kt en la hoja Analysis se autorellenara con los datos obtenidos de los html contenidos en el archivo czm generado con ISAMI.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B40" sqref="B40"/>
    </sheetView>
  </sheetViews>
  <sheetFormatPr baseColWidth="10" defaultColWidth="11.42578125" defaultRowHeight="15" x14ac:dyDescent="0.25"/>
  <cols>
    <col min="1" max="6" width="11.42578125" style="55"/>
    <col min="7" max="7" width="11.42578125" style="55" customWidth="1"/>
    <col min="8" max="8" width="13.5703125" style="55" customWidth="1"/>
    <col min="9" max="16384" width="11.42578125" style="5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L173"/>
  <sheetViews>
    <sheetView tabSelected="1" zoomScale="85" zoomScaleNormal="85" workbookViewId="0">
      <selection activeCell="N5" sqref="N5"/>
    </sheetView>
  </sheetViews>
  <sheetFormatPr baseColWidth="10" defaultColWidth="11.42578125" defaultRowHeight="15" x14ac:dyDescent="0.25"/>
  <cols>
    <col min="1" max="1" width="29.7109375" style="1" customWidth="1"/>
    <col min="2" max="2" width="8.140625" style="1" bestFit="1" customWidth="1"/>
    <col min="3" max="3" width="8.5703125" style="1" bestFit="1" customWidth="1"/>
    <col min="4" max="4" width="6" style="1" customWidth="1"/>
    <col min="5" max="5" width="7.7109375" style="1" bestFit="1" customWidth="1"/>
    <col min="6" max="6" width="6.7109375" style="1" bestFit="1" customWidth="1"/>
    <col min="7" max="8" width="7.85546875" style="1" bestFit="1" customWidth="1"/>
    <col min="9" max="10" width="13.28515625" style="1" bestFit="1" customWidth="1"/>
    <col min="11" max="11" width="12.42578125" style="1" bestFit="1" customWidth="1"/>
    <col min="12" max="12" width="12.140625" style="1" bestFit="1" customWidth="1"/>
    <col min="13" max="13" width="23.85546875" style="1" bestFit="1" customWidth="1"/>
    <col min="14" max="14" width="15.28515625" style="1" customWidth="1"/>
    <col min="15" max="15" width="14.7109375" style="1" customWidth="1"/>
    <col min="16" max="17" width="10.7109375" style="1" customWidth="1"/>
    <col min="18" max="18" width="15.42578125" style="1" bestFit="1" customWidth="1"/>
    <col min="19" max="19" width="8" style="1" bestFit="1" customWidth="1"/>
    <col min="20" max="20" width="13.85546875" style="1" customWidth="1"/>
    <col min="21" max="21" width="17" style="1" bestFit="1" customWidth="1"/>
    <col min="22" max="23" width="11.42578125" style="1"/>
    <col min="24" max="24" width="13.85546875" style="1" hidden="1" customWidth="1"/>
    <col min="25" max="26" width="0" style="1" hidden="1" customWidth="1"/>
    <col min="27" max="16384" width="11.42578125" style="1"/>
  </cols>
  <sheetData>
    <row r="1" spans="1:38" ht="15" customHeight="1" x14ac:dyDescent="0.25">
      <c r="E1" s="64" t="s">
        <v>14</v>
      </c>
      <c r="F1" s="65"/>
      <c r="G1" s="65"/>
      <c r="H1" s="65"/>
      <c r="I1" s="65"/>
      <c r="J1" s="65"/>
      <c r="K1" s="65"/>
      <c r="L1" s="65"/>
      <c r="M1" s="65"/>
      <c r="N1" s="66"/>
      <c r="O1" s="67" t="s">
        <v>1</v>
      </c>
      <c r="P1" s="68"/>
      <c r="Q1" s="69"/>
      <c r="R1" s="70" t="s">
        <v>3</v>
      </c>
      <c r="S1" s="71"/>
      <c r="T1" s="72"/>
      <c r="U1" s="73" t="s">
        <v>108</v>
      </c>
      <c r="V1" s="75" t="s">
        <v>125</v>
      </c>
      <c r="X1" s="1" t="s">
        <v>107</v>
      </c>
      <c r="Y1" s="1" t="s">
        <v>150</v>
      </c>
      <c r="Z1" s="1" t="s">
        <v>126</v>
      </c>
    </row>
    <row r="2" spans="1:38" x14ac:dyDescent="0.25">
      <c r="A2" s="8" t="s">
        <v>4</v>
      </c>
      <c r="B2" s="4" t="s">
        <v>17</v>
      </c>
      <c r="C2" s="4" t="s">
        <v>18</v>
      </c>
      <c r="D2" s="4" t="s">
        <v>16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15</v>
      </c>
      <c r="K2" s="6" t="s">
        <v>11</v>
      </c>
      <c r="L2" s="6" t="s">
        <v>12</v>
      </c>
      <c r="M2" s="6" t="s">
        <v>5</v>
      </c>
      <c r="N2" s="6" t="s">
        <v>2</v>
      </c>
      <c r="O2" s="5" t="s">
        <v>25</v>
      </c>
      <c r="P2" s="5" t="s">
        <v>13</v>
      </c>
      <c r="Q2" s="5" t="s">
        <v>2</v>
      </c>
      <c r="R2" s="7" t="s">
        <v>25</v>
      </c>
      <c r="S2" s="7" t="s">
        <v>24</v>
      </c>
      <c r="T2" s="7" t="s">
        <v>2</v>
      </c>
      <c r="U2" s="74"/>
      <c r="V2" s="76"/>
    </row>
    <row r="3" spans="1:38" ht="18" hidden="1" customHeight="1" x14ac:dyDescent="0.25">
      <c r="A3" s="8" t="s">
        <v>4</v>
      </c>
      <c r="B3" s="59" t="s">
        <v>130</v>
      </c>
      <c r="C3" s="59" t="s">
        <v>131</v>
      </c>
      <c r="D3" s="59" t="s">
        <v>132</v>
      </c>
      <c r="E3" s="6" t="s">
        <v>133</v>
      </c>
      <c r="F3" s="6" t="s">
        <v>134</v>
      </c>
      <c r="G3" s="6" t="s">
        <v>135</v>
      </c>
      <c r="H3" s="6" t="s">
        <v>136</v>
      </c>
      <c r="I3" s="6" t="s">
        <v>137</v>
      </c>
      <c r="J3" s="6" t="s">
        <v>138</v>
      </c>
      <c r="K3" s="6" t="s">
        <v>139</v>
      </c>
      <c r="L3" s="6" t="s">
        <v>140</v>
      </c>
      <c r="M3" s="6" t="s">
        <v>141</v>
      </c>
      <c r="N3" s="6" t="s">
        <v>142</v>
      </c>
      <c r="O3" s="5" t="s">
        <v>143</v>
      </c>
      <c r="P3" s="5" t="s">
        <v>144</v>
      </c>
      <c r="Q3" s="5" t="s">
        <v>145</v>
      </c>
      <c r="R3" s="7" t="s">
        <v>146</v>
      </c>
      <c r="S3" s="7" t="s">
        <v>147</v>
      </c>
      <c r="T3" s="7" t="s">
        <v>148</v>
      </c>
      <c r="U3" s="57" t="s">
        <v>149</v>
      </c>
      <c r="V3" s="58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25">
      <c r="A4" s="62" t="s">
        <v>129</v>
      </c>
      <c r="B4" s="62">
        <v>1000</v>
      </c>
      <c r="C4" s="62">
        <v>70</v>
      </c>
      <c r="D4" s="63">
        <v>0.1</v>
      </c>
      <c r="E4" s="63">
        <v>33.4</v>
      </c>
      <c r="F4" s="63">
        <v>50.400000000000006</v>
      </c>
      <c r="G4" s="63">
        <v>6.6</v>
      </c>
      <c r="H4" s="63">
        <v>11.71</v>
      </c>
      <c r="I4" s="62">
        <v>0</v>
      </c>
      <c r="J4" s="62">
        <v>0</v>
      </c>
      <c r="K4" s="62">
        <v>0</v>
      </c>
      <c r="L4" s="62">
        <v>0</v>
      </c>
      <c r="M4" s="3" t="s">
        <v>107</v>
      </c>
      <c r="N4" s="3" t="s">
        <v>127</v>
      </c>
      <c r="O4" s="3" t="s">
        <v>65</v>
      </c>
      <c r="P4" s="56">
        <f>+INDEX('Bush&amp;Pin_Data'!$B$4:$D$16,MATCH(Analysis!O4,'Bush&amp;Pin_Data'!$B$4:$B$16,0),3)</f>
        <v>6.35</v>
      </c>
      <c r="Q4" s="3" t="str">
        <f>+INDEX('Bush&amp;Pin_Data'!$B$4:$D$16,MATCH(Analysis!O4,'Bush&amp;Pin_Data'!$B$4:$B$16,0),2)</f>
        <v>Ti-6Al-4V</v>
      </c>
      <c r="R4" s="3" t="s">
        <v>67</v>
      </c>
      <c r="S4" s="56">
        <f>+INDEX('Bush&amp;Pin_Data'!$J$4:$L$17,MATCH(R4,'Bush&amp;Pin_Data'!$J$4:$J$17,0),3)</f>
        <v>9.5529399999999995</v>
      </c>
      <c r="T4" s="3" t="str">
        <f>+INDEX('Bush&amp;Pin_Data'!$J$4:$L$17,MATCH(R4,'Bush&amp;Pin_Data'!$J$4:$J$17,0),2)</f>
        <v>Cres-A286</v>
      </c>
      <c r="U4" s="3" t="s">
        <v>109</v>
      </c>
      <c r="V4" s="3"/>
    </row>
    <row r="5" spans="1:38" x14ac:dyDescent="0.25">
      <c r="A5" s="62" t="s">
        <v>151</v>
      </c>
      <c r="B5" s="62">
        <v>2000</v>
      </c>
      <c r="C5" s="62">
        <v>80</v>
      </c>
      <c r="D5" s="63">
        <v>0.6</v>
      </c>
      <c r="E5" s="63">
        <v>21.4</v>
      </c>
      <c r="F5" s="63">
        <v>55.6</v>
      </c>
      <c r="G5" s="63">
        <v>9</v>
      </c>
      <c r="H5" s="63">
        <v>5.5</v>
      </c>
      <c r="I5" s="62">
        <v>1.2</v>
      </c>
      <c r="J5" s="62">
        <v>1.3</v>
      </c>
      <c r="K5" s="62">
        <v>10</v>
      </c>
      <c r="L5" s="62">
        <v>0</v>
      </c>
      <c r="M5" s="60" t="s">
        <v>150</v>
      </c>
      <c r="N5" s="60" t="s">
        <v>128</v>
      </c>
      <c r="O5" s="60" t="s">
        <v>69</v>
      </c>
      <c r="P5" s="61">
        <f>+INDEX('Bush&amp;Pin_Data'!$B$4:$D$16,MATCH(Analysis!O5,'Bush&amp;Pin_Data'!$B$4:$B$16,0),3)</f>
        <v>7.9375</v>
      </c>
      <c r="Q5" s="60" t="str">
        <f>+INDEX('Bush&amp;Pin_Data'!$B$4:$D$16,MATCH(Analysis!O5,'Bush&amp;Pin_Data'!$B$4:$B$16,0),2)</f>
        <v>Ti-6Al-4V</v>
      </c>
      <c r="R5" s="60" t="s">
        <v>71</v>
      </c>
      <c r="S5" s="61">
        <f>+INDEX('Bush&amp;Pin_Data'!$J$4:$L$17,MATCH(R5,'Bush&amp;Pin_Data'!$J$4:$J$17,0),3)</f>
        <v>11.14044</v>
      </c>
      <c r="T5" s="60" t="str">
        <f>+INDEX('Bush&amp;Pin_Data'!$J$4:$L$17,MATCH(R5,'Bush&amp;Pin_Data'!$J$4:$J$17,0),2)</f>
        <v>Cres-A286</v>
      </c>
      <c r="U5" s="62" t="s">
        <v>109</v>
      </c>
      <c r="V5" s="62"/>
    </row>
    <row r="6" spans="1:38" x14ac:dyDescent="0.25">
      <c r="A6" s="62" t="s">
        <v>152</v>
      </c>
      <c r="B6" s="62">
        <v>3000</v>
      </c>
      <c r="C6" s="62">
        <v>90</v>
      </c>
      <c r="D6" s="63">
        <v>0.4</v>
      </c>
      <c r="E6" s="63">
        <v>81.400000000000006</v>
      </c>
      <c r="F6" s="63">
        <v>57.9</v>
      </c>
      <c r="G6" s="63">
        <v>10.199999999999999</v>
      </c>
      <c r="H6" s="63">
        <v>4.2</v>
      </c>
      <c r="I6" s="62">
        <v>0</v>
      </c>
      <c r="J6" s="62">
        <v>5</v>
      </c>
      <c r="K6" s="62">
        <v>0</v>
      </c>
      <c r="L6" s="62">
        <v>10</v>
      </c>
      <c r="M6" s="60" t="s">
        <v>126</v>
      </c>
      <c r="N6" s="60" t="s">
        <v>127</v>
      </c>
      <c r="O6" s="60" t="s">
        <v>73</v>
      </c>
      <c r="P6" s="61">
        <f>+INDEX('Bush&amp;Pin_Data'!$B$4:$D$16,MATCH(Analysis!O6,'Bush&amp;Pin_Data'!$B$4:$B$16,0),3)</f>
        <v>9.5249999999999986</v>
      </c>
      <c r="Q6" s="60" t="str">
        <f>+INDEX('Bush&amp;Pin_Data'!$B$4:$D$16,MATCH(Analysis!O6,'Bush&amp;Pin_Data'!$B$4:$B$16,0),2)</f>
        <v>Ti-6Al-4V</v>
      </c>
      <c r="R6" s="60" t="s">
        <v>75</v>
      </c>
      <c r="S6" s="61">
        <f>+INDEX('Bush&amp;Pin_Data'!$J$4:$L$17,MATCH(R6,'Bush&amp;Pin_Data'!$J$4:$J$17,0),3)</f>
        <v>12.733019999999998</v>
      </c>
      <c r="T6" s="60" t="str">
        <f>+INDEX('Bush&amp;Pin_Data'!$J$4:$L$17,MATCH(R6,'Bush&amp;Pin_Data'!$J$4:$J$17,0),2)</f>
        <v>Cres-A286</v>
      </c>
      <c r="U6" s="62" t="s">
        <v>109</v>
      </c>
      <c r="V6" s="62"/>
    </row>
    <row r="7" spans="1:38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38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38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3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3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3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3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3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3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3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</sheetData>
  <mergeCells count="5">
    <mergeCell ref="E1:N1"/>
    <mergeCell ref="O1:Q1"/>
    <mergeCell ref="R1:T1"/>
    <mergeCell ref="U1:U2"/>
    <mergeCell ref="V1:V2"/>
  </mergeCells>
  <dataValidations count="3">
    <dataValidation type="list" allowBlank="1" showInputMessage="1" showErrorMessage="1" sqref="M7:M173">
      <formula1>$X$4:$X$6</formula1>
    </dataValidation>
    <dataValidation type="list" allowBlank="1" showInputMessage="1" showErrorMessage="1" sqref="U7:U173">
      <formula1>$X$8:$X$10</formula1>
    </dataValidation>
    <dataValidation type="list" allowBlank="1" showInputMessage="1" showErrorMessage="1" sqref="M4:M6">
      <formula1>$X$1:$Z$1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Materials!$B$7:$B$8</xm:f>
          </x14:formula1>
          <xm:sqref>N4:N173</xm:sqref>
        </x14:dataValidation>
        <x14:dataValidation type="list" allowBlank="1" showInputMessage="1" showErrorMessage="1">
          <x14:formula1>
            <xm:f>'Bush&amp;Pin_Data'!$J$4:$J$17</xm:f>
          </x14:formula1>
          <xm:sqref>R4:R173</xm:sqref>
        </x14:dataValidation>
        <x14:dataValidation type="list" allowBlank="1" showInputMessage="1" showErrorMessage="1">
          <x14:formula1>
            <xm:f>'Bush&amp;Pin_Data'!$B$4:$B$13</xm:f>
          </x14:formula1>
          <xm:sqref>O4:O173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F8"/>
  <sheetViews>
    <sheetView workbookViewId="0">
      <selection activeCell="B5" sqref="B5:B8"/>
    </sheetView>
  </sheetViews>
  <sheetFormatPr baseColWidth="10" defaultColWidth="11.42578125" defaultRowHeight="15" x14ac:dyDescent="0.25"/>
  <cols>
    <col min="2" max="2" width="17.42578125" customWidth="1"/>
    <col min="3" max="3" width="27.85546875" bestFit="1" customWidth="1"/>
    <col min="4" max="4" width="15.7109375" bestFit="1" customWidth="1"/>
    <col min="5" max="5" width="17.5703125" customWidth="1"/>
    <col min="6" max="6" width="32.5703125" bestFit="1" customWidth="1"/>
  </cols>
  <sheetData>
    <row r="2" spans="2:6" x14ac:dyDescent="0.25">
      <c r="C2" s="1"/>
      <c r="D2" s="1"/>
      <c r="E2" s="1"/>
    </row>
    <row r="3" spans="2:6" x14ac:dyDescent="0.25">
      <c r="B3" s="77" t="s">
        <v>19</v>
      </c>
      <c r="C3" s="77"/>
      <c r="D3" s="77"/>
      <c r="E3" s="77"/>
      <c r="F3" s="77"/>
    </row>
    <row r="4" spans="2:6" x14ac:dyDescent="0.25">
      <c r="B4" s="54" t="s">
        <v>20</v>
      </c>
      <c r="C4" s="54" t="s">
        <v>21</v>
      </c>
      <c r="D4" s="54" t="s">
        <v>22</v>
      </c>
      <c r="E4" s="54" t="s">
        <v>23</v>
      </c>
      <c r="F4" s="54" t="s">
        <v>110</v>
      </c>
    </row>
    <row r="5" spans="2:6" x14ac:dyDescent="0.25">
      <c r="B5" s="9" t="s">
        <v>123</v>
      </c>
      <c r="C5" s="3" t="s">
        <v>111</v>
      </c>
      <c r="D5" s="3" t="s">
        <v>116</v>
      </c>
      <c r="E5" s="3" t="s">
        <v>115</v>
      </c>
      <c r="F5" s="3" t="s">
        <v>121</v>
      </c>
    </row>
    <row r="6" spans="2:6" x14ac:dyDescent="0.25">
      <c r="B6" s="9" t="s">
        <v>124</v>
      </c>
      <c r="C6" s="3" t="s">
        <v>112</v>
      </c>
      <c r="D6" s="3" t="s">
        <v>122</v>
      </c>
      <c r="E6" s="3" t="s">
        <v>115</v>
      </c>
      <c r="F6" s="3" t="s">
        <v>121</v>
      </c>
    </row>
    <row r="7" spans="2:6" ht="15" customHeight="1" x14ac:dyDescent="0.25">
      <c r="B7" s="9" t="s">
        <v>127</v>
      </c>
      <c r="C7" s="3" t="s">
        <v>113</v>
      </c>
      <c r="D7" s="3" t="s">
        <v>117</v>
      </c>
      <c r="E7" s="3" t="s">
        <v>115</v>
      </c>
      <c r="F7" s="3" t="s">
        <v>119</v>
      </c>
    </row>
    <row r="8" spans="2:6" ht="15" customHeight="1" x14ac:dyDescent="0.25">
      <c r="B8" s="9" t="s">
        <v>128</v>
      </c>
      <c r="C8" s="3" t="s">
        <v>114</v>
      </c>
      <c r="D8" s="3" t="s">
        <v>118</v>
      </c>
      <c r="E8" s="3" t="s">
        <v>115</v>
      </c>
      <c r="F8" s="3" t="s">
        <v>120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zoomScale="85" zoomScaleNormal="85" workbookViewId="0">
      <selection activeCell="K31" sqref="K31"/>
    </sheetView>
  </sheetViews>
  <sheetFormatPr baseColWidth="10"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51" customWidth="1"/>
    <col min="8" max="8" width="12.140625" style="52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53" customWidth="1"/>
    <col min="17" max="17" width="10.7109375" style="53" customWidth="1"/>
    <col min="18" max="20" width="10.7109375" customWidth="1"/>
  </cols>
  <sheetData>
    <row r="1" spans="1:20" ht="15" customHeight="1" x14ac:dyDescent="0.25">
      <c r="A1" s="9"/>
      <c r="B1" s="82" t="s">
        <v>26</v>
      </c>
      <c r="C1" s="83"/>
      <c r="D1" s="83"/>
      <c r="E1" s="83"/>
      <c r="F1" s="83"/>
      <c r="G1" s="84"/>
      <c r="H1" s="82" t="s">
        <v>27</v>
      </c>
      <c r="I1" s="84"/>
      <c r="J1" s="82" t="s">
        <v>28</v>
      </c>
      <c r="K1" s="83"/>
      <c r="L1" s="83"/>
      <c r="M1" s="84"/>
      <c r="N1" s="82" t="s">
        <v>29</v>
      </c>
      <c r="O1" s="83"/>
      <c r="P1" s="83"/>
      <c r="Q1" s="83"/>
      <c r="R1" s="83"/>
      <c r="S1" s="83"/>
      <c r="T1" s="83"/>
    </row>
    <row r="2" spans="1:20" ht="30" x14ac:dyDescent="0.25">
      <c r="A2" s="10" t="s">
        <v>30</v>
      </c>
      <c r="B2" s="85" t="s">
        <v>31</v>
      </c>
      <c r="C2" s="78" t="s">
        <v>32</v>
      </c>
      <c r="D2" s="9" t="s">
        <v>33</v>
      </c>
      <c r="E2" s="11" t="s">
        <v>34</v>
      </c>
      <c r="F2" s="11" t="s">
        <v>35</v>
      </c>
      <c r="G2" s="12" t="s">
        <v>36</v>
      </c>
      <c r="H2" s="85" t="s">
        <v>37</v>
      </c>
      <c r="I2" s="9" t="s">
        <v>38</v>
      </c>
      <c r="J2" s="85" t="s">
        <v>39</v>
      </c>
      <c r="K2" s="78" t="s">
        <v>32</v>
      </c>
      <c r="L2" s="9" t="s">
        <v>40</v>
      </c>
      <c r="M2" s="9" t="s">
        <v>41</v>
      </c>
      <c r="N2" s="85" t="s">
        <v>42</v>
      </c>
      <c r="O2" s="78" t="s">
        <v>43</v>
      </c>
      <c r="P2" s="78" t="s">
        <v>44</v>
      </c>
      <c r="Q2" s="13" t="s">
        <v>0</v>
      </c>
      <c r="R2" s="9" t="s">
        <v>45</v>
      </c>
      <c r="S2" s="9" t="s">
        <v>40</v>
      </c>
      <c r="T2" s="9" t="s">
        <v>46</v>
      </c>
    </row>
    <row r="3" spans="1:20" x14ac:dyDescent="0.25">
      <c r="A3" s="10" t="s">
        <v>47</v>
      </c>
      <c r="B3" s="85"/>
      <c r="C3" s="78"/>
      <c r="D3" s="9" t="s">
        <v>48</v>
      </c>
      <c r="E3" s="11" t="s">
        <v>49</v>
      </c>
      <c r="F3" s="11" t="s">
        <v>50</v>
      </c>
      <c r="G3" s="11" t="s">
        <v>51</v>
      </c>
      <c r="H3" s="85"/>
      <c r="I3" s="9" t="s">
        <v>52</v>
      </c>
      <c r="J3" s="85"/>
      <c r="K3" s="78"/>
      <c r="L3" s="9" t="s">
        <v>53</v>
      </c>
      <c r="M3" s="9" t="s">
        <v>54</v>
      </c>
      <c r="N3" s="85"/>
      <c r="O3" s="78"/>
      <c r="P3" s="78"/>
      <c r="Q3" s="13" t="s">
        <v>55</v>
      </c>
      <c r="R3" s="9" t="s">
        <v>56</v>
      </c>
      <c r="S3" s="9" t="s">
        <v>57</v>
      </c>
      <c r="T3" s="9" t="s">
        <v>58</v>
      </c>
    </row>
    <row r="4" spans="1:20" x14ac:dyDescent="0.25">
      <c r="A4" s="79"/>
      <c r="B4" s="9" t="s">
        <v>59</v>
      </c>
      <c r="C4" s="9" t="s">
        <v>123</v>
      </c>
      <c r="D4" s="11">
        <v>4.8259999999999996</v>
      </c>
      <c r="E4" s="11">
        <v>8.5090000000000003</v>
      </c>
      <c r="F4" s="11">
        <v>2.9844999999999997</v>
      </c>
      <c r="G4" s="11">
        <v>0</v>
      </c>
      <c r="H4" s="11" t="s">
        <v>60</v>
      </c>
      <c r="I4" s="11">
        <v>2.7690000000000001</v>
      </c>
      <c r="J4" s="9" t="s">
        <v>61</v>
      </c>
      <c r="K4" s="9" t="s">
        <v>124</v>
      </c>
      <c r="L4" s="11">
        <v>7.9654399999999992</v>
      </c>
      <c r="M4" s="11">
        <v>11.0998</v>
      </c>
      <c r="N4" s="14" t="s">
        <v>62</v>
      </c>
      <c r="O4" s="9" t="s">
        <v>63</v>
      </c>
      <c r="P4" s="9" t="s">
        <v>64</v>
      </c>
      <c r="Q4" s="11">
        <v>14.288</v>
      </c>
      <c r="R4" s="11">
        <v>10.4</v>
      </c>
      <c r="S4" s="11">
        <v>7.14</v>
      </c>
      <c r="T4" s="11">
        <v>0.255</v>
      </c>
    </row>
    <row r="5" spans="1:20" x14ac:dyDescent="0.25">
      <c r="A5" s="80"/>
      <c r="B5" s="9" t="s">
        <v>65</v>
      </c>
      <c r="C5" s="9" t="s">
        <v>123</v>
      </c>
      <c r="D5" s="11">
        <v>6.35</v>
      </c>
      <c r="E5" s="11">
        <v>10.109</v>
      </c>
      <c r="F5" s="11">
        <v>3.3654999999999999</v>
      </c>
      <c r="G5" s="11">
        <v>0</v>
      </c>
      <c r="H5" s="11" t="s">
        <v>66</v>
      </c>
      <c r="I5" s="11">
        <v>3.1749999999999998</v>
      </c>
      <c r="J5" s="15" t="s">
        <v>67</v>
      </c>
      <c r="K5" s="9" t="s">
        <v>124</v>
      </c>
      <c r="L5" s="17">
        <v>9.5529399999999995</v>
      </c>
      <c r="M5" s="17">
        <v>12.7</v>
      </c>
      <c r="N5" s="18" t="s">
        <v>68</v>
      </c>
      <c r="O5" s="9" t="s">
        <v>63</v>
      </c>
      <c r="P5" s="9" t="s">
        <v>64</v>
      </c>
      <c r="Q5" s="11">
        <v>16.667000000000002</v>
      </c>
      <c r="R5" s="11">
        <v>12.7</v>
      </c>
      <c r="S5" s="11">
        <v>8.7100000000000009</v>
      </c>
      <c r="T5" s="11">
        <v>0.255</v>
      </c>
    </row>
    <row r="6" spans="1:20" x14ac:dyDescent="0.25">
      <c r="A6" s="80"/>
      <c r="B6" s="9" t="s">
        <v>69</v>
      </c>
      <c r="C6" s="9" t="s">
        <v>123</v>
      </c>
      <c r="D6" s="11">
        <v>7.9375</v>
      </c>
      <c r="E6" s="11">
        <v>11.683999999999999</v>
      </c>
      <c r="F6" s="11">
        <v>4.1524999999999999</v>
      </c>
      <c r="G6" s="11">
        <v>0</v>
      </c>
      <c r="H6" s="11" t="s">
        <v>70</v>
      </c>
      <c r="I6" s="11">
        <v>4.3689999999999998</v>
      </c>
      <c r="J6" s="9" t="s">
        <v>71</v>
      </c>
      <c r="K6" s="9" t="s">
        <v>124</v>
      </c>
      <c r="L6" s="11">
        <v>11.14044</v>
      </c>
      <c r="M6" s="11">
        <v>14.274800000000001</v>
      </c>
      <c r="N6" s="18" t="s">
        <v>72</v>
      </c>
      <c r="O6" s="9" t="s">
        <v>63</v>
      </c>
      <c r="P6" s="9" t="s">
        <v>64</v>
      </c>
      <c r="Q6" s="11">
        <v>19.05</v>
      </c>
      <c r="R6" s="11">
        <v>14.2</v>
      </c>
      <c r="S6" s="11">
        <v>9.5299999999999994</v>
      </c>
      <c r="T6" s="11">
        <v>0.255</v>
      </c>
    </row>
    <row r="7" spans="1:20" x14ac:dyDescent="0.25">
      <c r="A7" s="80"/>
      <c r="B7" s="9" t="s">
        <v>73</v>
      </c>
      <c r="C7" s="9" t="s">
        <v>123</v>
      </c>
      <c r="D7" s="11">
        <v>9.5249999999999986</v>
      </c>
      <c r="E7" s="11">
        <v>13.284000000000001</v>
      </c>
      <c r="F7" s="11">
        <v>4.9655000000000005</v>
      </c>
      <c r="G7" s="11">
        <v>0</v>
      </c>
      <c r="H7" s="11" t="s">
        <v>74</v>
      </c>
      <c r="I7" s="11">
        <v>5.5620000000000003</v>
      </c>
      <c r="J7" s="15" t="s">
        <v>75</v>
      </c>
      <c r="K7" s="9" t="s">
        <v>124</v>
      </c>
      <c r="L7" s="11">
        <v>12.733019999999998</v>
      </c>
      <c r="M7" s="11">
        <v>15.875</v>
      </c>
      <c r="N7" s="15" t="s">
        <v>76</v>
      </c>
      <c r="O7" s="16" t="s">
        <v>63</v>
      </c>
      <c r="P7" s="16" t="s">
        <v>64</v>
      </c>
      <c r="Q7" s="17">
        <v>20.638000000000002</v>
      </c>
      <c r="R7" s="17">
        <v>16</v>
      </c>
      <c r="S7" s="17">
        <v>10.31</v>
      </c>
      <c r="T7" s="17">
        <v>0.255</v>
      </c>
    </row>
    <row r="8" spans="1:20" x14ac:dyDescent="0.25">
      <c r="A8" s="80"/>
      <c r="B8" s="9" t="s">
        <v>77</v>
      </c>
      <c r="C8" s="9" t="s">
        <v>123</v>
      </c>
      <c r="D8" s="11">
        <v>11.112499999999999</v>
      </c>
      <c r="E8" s="11">
        <v>16.459</v>
      </c>
      <c r="F8" s="11">
        <v>5.7534999999999998</v>
      </c>
      <c r="G8" s="11">
        <v>0</v>
      </c>
      <c r="H8" s="11" t="s">
        <v>78</v>
      </c>
      <c r="I8" s="11">
        <v>6.7560000000000002</v>
      </c>
      <c r="J8" s="19" t="s">
        <v>79</v>
      </c>
      <c r="K8" s="9" t="s">
        <v>124</v>
      </c>
      <c r="L8" s="11">
        <v>14.320519999999998</v>
      </c>
      <c r="M8" s="11">
        <v>17.4498</v>
      </c>
      <c r="N8" s="18" t="s">
        <v>80</v>
      </c>
      <c r="O8" s="9" t="s">
        <v>63</v>
      </c>
      <c r="P8" s="9" t="s">
        <v>64</v>
      </c>
      <c r="Q8" s="11">
        <v>23.016999999999999</v>
      </c>
      <c r="R8" s="11">
        <v>17.5</v>
      </c>
      <c r="S8" s="11">
        <v>11.1</v>
      </c>
      <c r="T8" s="11">
        <v>0.255</v>
      </c>
    </row>
    <row r="9" spans="1:20" x14ac:dyDescent="0.25">
      <c r="A9" s="80"/>
      <c r="B9" s="9" t="s">
        <v>81</v>
      </c>
      <c r="C9" s="9" t="s">
        <v>123</v>
      </c>
      <c r="D9" s="11">
        <v>12.7</v>
      </c>
      <c r="E9" s="11">
        <v>18.033999999999999</v>
      </c>
      <c r="F9" s="11">
        <v>6.5404999999999998</v>
      </c>
      <c r="G9" s="11">
        <v>0</v>
      </c>
      <c r="H9" s="11" t="s">
        <v>82</v>
      </c>
      <c r="I9" s="11">
        <v>9.1180000000000003</v>
      </c>
      <c r="J9" s="19" t="s">
        <v>83</v>
      </c>
      <c r="K9" s="9" t="s">
        <v>124</v>
      </c>
      <c r="L9" s="11">
        <v>15.913099999999998</v>
      </c>
      <c r="M9" s="11">
        <v>19.049999999999997</v>
      </c>
      <c r="N9" s="18" t="s">
        <v>84</v>
      </c>
      <c r="O9" s="9" t="s">
        <v>63</v>
      </c>
      <c r="P9" s="9" t="s">
        <v>64</v>
      </c>
      <c r="Q9" s="11">
        <v>25.4</v>
      </c>
      <c r="R9" s="11">
        <v>19.8</v>
      </c>
      <c r="S9" s="11">
        <v>12.7</v>
      </c>
      <c r="T9" s="11">
        <v>0.255</v>
      </c>
    </row>
    <row r="10" spans="1:20" x14ac:dyDescent="0.25">
      <c r="A10" s="80"/>
      <c r="B10" s="9" t="s">
        <v>85</v>
      </c>
      <c r="C10" s="9" t="s">
        <v>123</v>
      </c>
      <c r="D10" s="11">
        <v>14.2875</v>
      </c>
      <c r="E10" s="11">
        <v>21.209</v>
      </c>
      <c r="F10" s="11">
        <v>7.3274999999999997</v>
      </c>
      <c r="G10" s="11">
        <v>0</v>
      </c>
      <c r="H10" s="11" t="s">
        <v>86</v>
      </c>
      <c r="I10" s="11">
        <v>9.9309999999999992</v>
      </c>
      <c r="J10" s="19" t="s">
        <v>87</v>
      </c>
      <c r="K10" s="9" t="s">
        <v>124</v>
      </c>
      <c r="L10" s="11">
        <v>17.505679999999998</v>
      </c>
      <c r="M10" s="11">
        <v>20.6248</v>
      </c>
      <c r="N10" s="18" t="s">
        <v>88</v>
      </c>
      <c r="O10" s="9" t="s">
        <v>63</v>
      </c>
      <c r="P10" s="9" t="s">
        <v>64</v>
      </c>
      <c r="Q10" s="11">
        <v>27.78</v>
      </c>
      <c r="R10" s="11">
        <v>22.1</v>
      </c>
      <c r="S10" s="11">
        <v>14.27</v>
      </c>
      <c r="T10" s="11">
        <v>0.255</v>
      </c>
    </row>
    <row r="11" spans="1:20" ht="15" customHeight="1" x14ac:dyDescent="0.25">
      <c r="A11" s="80"/>
      <c r="B11" s="9" t="s">
        <v>89</v>
      </c>
      <c r="C11" s="9" t="s">
        <v>123</v>
      </c>
      <c r="D11" s="11">
        <v>15.875</v>
      </c>
      <c r="E11" s="11">
        <v>22.809000000000001</v>
      </c>
      <c r="F11" s="11">
        <v>8.115499999999999</v>
      </c>
      <c r="G11" s="11">
        <v>0</v>
      </c>
      <c r="H11" s="11" t="s">
        <v>90</v>
      </c>
      <c r="I11" s="11">
        <v>11.912000000000001</v>
      </c>
      <c r="J11" s="19" t="s">
        <v>91</v>
      </c>
      <c r="K11" s="9" t="s">
        <v>124</v>
      </c>
      <c r="L11" s="11">
        <v>20.680679999999999</v>
      </c>
      <c r="M11" s="11">
        <v>25.4</v>
      </c>
      <c r="N11" s="18" t="s">
        <v>92</v>
      </c>
      <c r="O11" s="9" t="s">
        <v>63</v>
      </c>
      <c r="P11" s="9" t="s">
        <v>64</v>
      </c>
      <c r="Q11" s="11">
        <v>30.163</v>
      </c>
      <c r="R11" s="11">
        <v>24.6</v>
      </c>
      <c r="S11" s="11">
        <v>15.88</v>
      </c>
      <c r="T11" s="11">
        <v>0.255</v>
      </c>
    </row>
    <row r="12" spans="1:20" x14ac:dyDescent="0.25">
      <c r="A12" s="80"/>
      <c r="B12" s="9" t="s">
        <v>93</v>
      </c>
      <c r="C12" s="9" t="s">
        <v>123</v>
      </c>
      <c r="D12" s="11">
        <v>19.049999999999997</v>
      </c>
      <c r="E12" s="11">
        <v>25.984000000000002</v>
      </c>
      <c r="F12" s="11">
        <v>9.7155000000000005</v>
      </c>
      <c r="G12" s="11">
        <v>0</v>
      </c>
      <c r="H12" s="11" t="s">
        <v>94</v>
      </c>
      <c r="I12" s="11">
        <v>14.3</v>
      </c>
      <c r="J12" s="19" t="s">
        <v>95</v>
      </c>
      <c r="K12" s="9" t="s">
        <v>124</v>
      </c>
      <c r="L12" s="11">
        <v>23.858219999999999</v>
      </c>
      <c r="M12" s="11">
        <v>28.574999999999999</v>
      </c>
      <c r="N12" s="18" t="s">
        <v>96</v>
      </c>
      <c r="O12" s="9" t="s">
        <v>63</v>
      </c>
      <c r="P12" s="9" t="s">
        <v>64</v>
      </c>
      <c r="Q12" s="11">
        <v>36.512999999999998</v>
      </c>
      <c r="R12" s="11">
        <v>30.2</v>
      </c>
      <c r="S12" s="11">
        <v>19.05</v>
      </c>
      <c r="T12" s="11">
        <v>0.255</v>
      </c>
    </row>
    <row r="13" spans="1:20" ht="15" customHeight="1" x14ac:dyDescent="0.25">
      <c r="A13" s="80"/>
      <c r="B13" s="16" t="s">
        <v>101</v>
      </c>
      <c r="C13" s="9" t="s">
        <v>124</v>
      </c>
      <c r="D13" s="17">
        <v>9.5249999999999986</v>
      </c>
      <c r="E13" s="17">
        <v>16.356999999999999</v>
      </c>
      <c r="F13" s="17">
        <v>9.8550000000000004</v>
      </c>
      <c r="G13" s="17">
        <v>0</v>
      </c>
      <c r="H13" s="11"/>
      <c r="I13" s="11"/>
      <c r="J13" s="20" t="s">
        <v>97</v>
      </c>
      <c r="K13" s="9" t="s">
        <v>124</v>
      </c>
      <c r="L13" s="11">
        <v>9.5530000000000008</v>
      </c>
      <c r="M13" s="11">
        <v>9.5530000000000008</v>
      </c>
      <c r="N13" s="18"/>
      <c r="O13" s="9"/>
      <c r="P13" s="9"/>
      <c r="Q13" s="11"/>
      <c r="R13" s="11"/>
      <c r="S13" s="11"/>
      <c r="T13" s="11"/>
    </row>
    <row r="14" spans="1:20" ht="15" customHeight="1" x14ac:dyDescent="0.25">
      <c r="A14" s="80"/>
      <c r="B14" s="9"/>
      <c r="D14" s="11"/>
      <c r="E14" s="11"/>
      <c r="F14" s="11"/>
      <c r="G14" s="11"/>
      <c r="H14" s="11"/>
      <c r="I14" s="11"/>
      <c r="J14" s="19" t="s">
        <v>98</v>
      </c>
      <c r="K14" s="9" t="s">
        <v>124</v>
      </c>
      <c r="L14" s="11">
        <v>9.5530000000000008</v>
      </c>
      <c r="M14" s="11">
        <v>9.5530000000000008</v>
      </c>
      <c r="N14" s="18"/>
      <c r="O14" s="9"/>
      <c r="P14" s="9"/>
      <c r="Q14" s="11"/>
      <c r="R14" s="11"/>
      <c r="S14" s="11"/>
      <c r="T14" s="11"/>
    </row>
    <row r="15" spans="1:20" ht="15" customHeight="1" x14ac:dyDescent="0.25">
      <c r="A15" s="80"/>
      <c r="B15" s="9"/>
      <c r="C15" s="9"/>
      <c r="D15" s="11"/>
      <c r="E15" s="11"/>
      <c r="F15" s="11"/>
      <c r="G15" s="11"/>
      <c r="H15" s="11"/>
      <c r="I15" s="11"/>
      <c r="J15" s="19" t="s">
        <v>100</v>
      </c>
      <c r="K15" s="9" t="s">
        <v>124</v>
      </c>
      <c r="L15" s="11">
        <v>11.14</v>
      </c>
      <c r="M15" s="11">
        <v>11.14</v>
      </c>
      <c r="N15" s="18"/>
      <c r="O15" s="9"/>
      <c r="P15" s="9"/>
      <c r="Q15" s="11"/>
      <c r="R15" s="11"/>
      <c r="S15" s="11"/>
      <c r="T15" s="11"/>
    </row>
    <row r="16" spans="1:20" ht="15" customHeight="1" x14ac:dyDescent="0.25">
      <c r="A16" s="80"/>
      <c r="B16" s="9"/>
      <c r="C16" s="9"/>
      <c r="D16" s="11"/>
      <c r="E16" s="11"/>
      <c r="F16" s="11"/>
      <c r="G16" s="11"/>
      <c r="H16" s="11" t="s">
        <v>99</v>
      </c>
      <c r="I16" s="11">
        <v>2.3879999999999999</v>
      </c>
      <c r="J16" s="19" t="s">
        <v>103</v>
      </c>
      <c r="K16" s="9" t="s">
        <v>124</v>
      </c>
      <c r="L16" s="11">
        <v>11.1</v>
      </c>
      <c r="M16" s="11">
        <v>14.3</v>
      </c>
      <c r="N16" s="18"/>
      <c r="O16" s="9"/>
      <c r="P16" s="9"/>
      <c r="Q16" s="11"/>
      <c r="R16" s="11"/>
      <c r="S16" s="11"/>
      <c r="T16" s="11"/>
    </row>
    <row r="17" spans="1:20" ht="15" customHeight="1" x14ac:dyDescent="0.25">
      <c r="A17" s="80"/>
      <c r="H17" s="11" t="s">
        <v>102</v>
      </c>
      <c r="I17" s="11">
        <v>2.7690000000000001</v>
      </c>
      <c r="J17" s="19" t="s">
        <v>104</v>
      </c>
      <c r="K17" s="9" t="s">
        <v>124</v>
      </c>
      <c r="L17" s="11">
        <v>12.7</v>
      </c>
      <c r="M17" s="11">
        <v>16</v>
      </c>
      <c r="N17" s="18"/>
      <c r="O17" s="9"/>
      <c r="P17" s="9"/>
      <c r="Q17" s="11"/>
      <c r="R17" s="11"/>
      <c r="S17" s="11"/>
      <c r="T17" s="11"/>
    </row>
    <row r="18" spans="1:20" ht="15" customHeight="1" x14ac:dyDescent="0.25">
      <c r="A18" s="80"/>
      <c r="B18" s="9"/>
      <c r="C18" s="9"/>
      <c r="D18" s="11"/>
      <c r="E18" s="11"/>
      <c r="F18" s="11"/>
      <c r="G18" s="11"/>
      <c r="H18" s="11"/>
      <c r="I18" s="11"/>
      <c r="J18" s="2"/>
      <c r="K18" s="2"/>
      <c r="L18" s="2"/>
      <c r="M18" s="2"/>
      <c r="N18" s="18"/>
      <c r="O18" s="9"/>
      <c r="P18" s="9"/>
      <c r="Q18" s="11"/>
      <c r="R18" s="11"/>
      <c r="S18" s="11"/>
      <c r="T18" s="11"/>
    </row>
    <row r="19" spans="1:20" ht="15" customHeight="1" x14ac:dyDescent="0.25">
      <c r="A19" s="80"/>
      <c r="B19" s="9"/>
      <c r="C19" s="9"/>
      <c r="D19" s="11"/>
      <c r="E19" s="11"/>
      <c r="F19" s="11"/>
      <c r="G19" s="11"/>
      <c r="H19" s="11" t="s">
        <v>105</v>
      </c>
      <c r="I19" s="11">
        <v>6.35</v>
      </c>
      <c r="J19" s="19"/>
      <c r="K19" s="9"/>
      <c r="L19" s="11"/>
      <c r="M19" s="11"/>
      <c r="N19" s="18"/>
      <c r="O19" s="9"/>
      <c r="P19" s="9"/>
      <c r="Q19" s="11"/>
      <c r="R19" s="11"/>
      <c r="S19" s="11"/>
      <c r="T19" s="11"/>
    </row>
    <row r="20" spans="1:20" ht="15" customHeight="1" x14ac:dyDescent="0.25">
      <c r="A20" s="80"/>
      <c r="B20" s="9"/>
      <c r="C20" s="9"/>
      <c r="D20" s="11"/>
      <c r="E20" s="11"/>
      <c r="F20" s="11"/>
      <c r="G20" s="11"/>
      <c r="H20" s="17" t="s">
        <v>106</v>
      </c>
      <c r="I20" s="17">
        <v>11.557</v>
      </c>
      <c r="J20" s="19"/>
      <c r="K20" s="9"/>
      <c r="L20" s="11"/>
      <c r="M20" s="11"/>
      <c r="N20" s="18"/>
      <c r="O20" s="9"/>
      <c r="P20" s="9"/>
      <c r="Q20" s="11"/>
      <c r="R20" s="11"/>
      <c r="S20" s="11"/>
      <c r="T20" s="11"/>
    </row>
    <row r="21" spans="1:20" ht="15" customHeight="1" x14ac:dyDescent="0.25">
      <c r="A21" s="81"/>
      <c r="B21" s="9"/>
      <c r="C21" s="9"/>
      <c r="D21" s="11"/>
      <c r="E21" s="11"/>
      <c r="F21" s="11"/>
      <c r="G21" s="11"/>
      <c r="H21" s="11"/>
      <c r="I21" s="11"/>
      <c r="J21" s="19"/>
      <c r="K21" s="9"/>
      <c r="L21" s="11"/>
      <c r="M21" s="11"/>
      <c r="N21" s="18"/>
      <c r="O21" s="9"/>
      <c r="P21" s="9"/>
      <c r="Q21" s="11"/>
      <c r="R21" s="11"/>
      <c r="S21" s="11"/>
      <c r="T21" s="11"/>
    </row>
    <row r="22" spans="1:20" x14ac:dyDescent="0.25">
      <c r="A22" s="21"/>
      <c r="B22" s="21"/>
      <c r="C22" s="21"/>
      <c r="D22" s="22"/>
      <c r="E22" s="22"/>
      <c r="F22" s="22"/>
      <c r="G22" s="22"/>
      <c r="H22" s="22"/>
      <c r="I22" s="22"/>
      <c r="J22" s="23"/>
      <c r="K22" s="21"/>
      <c r="L22" s="22"/>
      <c r="M22" s="22"/>
      <c r="N22" s="24"/>
      <c r="O22" s="21"/>
      <c r="P22" s="21"/>
      <c r="Q22" s="22"/>
      <c r="R22" s="22"/>
      <c r="S22" s="22"/>
      <c r="T22" s="22"/>
    </row>
    <row r="23" spans="1:20" x14ac:dyDescent="0.25">
      <c r="A23" s="21"/>
      <c r="B23" s="21"/>
      <c r="C23" s="21"/>
      <c r="D23" s="22"/>
      <c r="E23" s="22"/>
      <c r="F23" s="22"/>
      <c r="G23" s="22"/>
      <c r="H23" s="22"/>
      <c r="I23" s="22"/>
      <c r="J23" s="23"/>
      <c r="K23" s="21"/>
      <c r="L23" s="22"/>
      <c r="M23" s="22"/>
      <c r="N23" s="24"/>
      <c r="O23" s="21"/>
      <c r="P23" s="21"/>
      <c r="Q23" s="22"/>
      <c r="R23" s="22"/>
      <c r="S23" s="22"/>
      <c r="T23" s="22"/>
    </row>
    <row r="24" spans="1:20" x14ac:dyDescent="0.25">
      <c r="A24" s="21"/>
      <c r="B24" s="21"/>
      <c r="C24" s="21"/>
      <c r="D24" s="22"/>
      <c r="E24" s="22"/>
      <c r="F24" s="22"/>
      <c r="G24" s="22"/>
      <c r="H24" s="22"/>
      <c r="I24" s="22"/>
      <c r="J24" s="23"/>
      <c r="K24" s="21"/>
      <c r="L24" s="22"/>
      <c r="M24" s="22"/>
      <c r="N24" s="24"/>
      <c r="O24" s="21"/>
      <c r="P24" s="21"/>
      <c r="Q24" s="22"/>
      <c r="R24" s="22"/>
      <c r="S24" s="22"/>
      <c r="T24" s="22"/>
    </row>
    <row r="25" spans="1:20" ht="15.75" thickBot="1" x14ac:dyDescent="0.3">
      <c r="A25" s="25"/>
      <c r="B25" s="25"/>
      <c r="C25" s="25"/>
      <c r="D25" s="25"/>
      <c r="E25" s="26"/>
      <c r="F25" s="26"/>
      <c r="G25" s="26"/>
      <c r="H25" s="26"/>
      <c r="I25" s="25"/>
      <c r="J25" s="25"/>
      <c r="K25" s="25"/>
      <c r="L25" s="25"/>
      <c r="M25" s="25"/>
      <c r="N25" s="25"/>
      <c r="O25" s="27"/>
      <c r="P25" s="27"/>
      <c r="Q25" s="27"/>
      <c r="R25" s="25"/>
      <c r="S25" s="25"/>
      <c r="T25" s="25"/>
    </row>
    <row r="26" spans="1:20" ht="15.75" thickTop="1" x14ac:dyDescent="0.25">
      <c r="A26" s="28"/>
      <c r="B26" s="28"/>
      <c r="C26" s="28"/>
      <c r="D26" s="28"/>
      <c r="E26" s="29"/>
      <c r="F26" s="29"/>
      <c r="G26" s="29"/>
      <c r="H26" s="30"/>
      <c r="I26" s="28"/>
      <c r="J26" s="28"/>
      <c r="K26" s="28"/>
      <c r="L26" s="28"/>
      <c r="M26" s="28"/>
      <c r="N26" s="28"/>
      <c r="O26" s="31"/>
      <c r="P26" s="31"/>
      <c r="Q26" s="31"/>
      <c r="R26" s="28"/>
      <c r="S26" s="28"/>
      <c r="T26" s="28"/>
    </row>
    <row r="42" spans="1:51" x14ac:dyDescent="0.25">
      <c r="A42" s="32"/>
      <c r="B42" s="32"/>
      <c r="C42" s="32"/>
      <c r="D42" s="32"/>
      <c r="E42" s="33"/>
      <c r="F42" s="33"/>
      <c r="G42" s="33"/>
      <c r="H42" s="34"/>
      <c r="I42" s="32"/>
      <c r="J42" s="32"/>
      <c r="K42" s="32"/>
      <c r="L42" s="32"/>
      <c r="M42" s="32"/>
      <c r="N42" s="32"/>
      <c r="O42" s="35"/>
      <c r="P42" s="35"/>
      <c r="Q42" s="35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</row>
    <row r="43" spans="1:51" x14ac:dyDescent="0.25">
      <c r="A43" s="32"/>
      <c r="B43" s="32"/>
      <c r="C43" s="32"/>
      <c r="D43" s="32"/>
      <c r="E43" s="33"/>
      <c r="F43" s="33"/>
      <c r="G43" s="33"/>
      <c r="H43" s="34"/>
      <c r="I43" s="32"/>
      <c r="J43" s="32"/>
      <c r="K43" s="32"/>
      <c r="L43" s="32"/>
      <c r="M43" s="32"/>
      <c r="N43" s="32"/>
      <c r="O43" s="35"/>
      <c r="P43" s="35"/>
      <c r="Q43" s="35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</row>
    <row r="44" spans="1:51" x14ac:dyDescent="0.25">
      <c r="A44" s="32"/>
      <c r="B44" s="32"/>
      <c r="C44" s="32"/>
      <c r="D44" s="32"/>
      <c r="E44" s="33"/>
      <c r="F44" s="33"/>
      <c r="G44" s="33"/>
      <c r="H44" s="34"/>
      <c r="I44" s="32"/>
      <c r="J44" s="32"/>
      <c r="K44" s="32"/>
      <c r="L44" s="32"/>
      <c r="M44" s="32"/>
      <c r="N44" s="32"/>
      <c r="O44" s="35"/>
      <c r="P44" s="35"/>
      <c r="Q44" s="35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6"/>
      <c r="AI44" s="36"/>
      <c r="AJ44" s="36"/>
      <c r="AK44" s="36"/>
      <c r="AL44" s="32"/>
      <c r="AM44" s="37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</row>
    <row r="45" spans="1:51" x14ac:dyDescent="0.25">
      <c r="A45" s="38"/>
      <c r="B45" s="38"/>
      <c r="C45" s="38"/>
      <c r="D45" s="38"/>
      <c r="E45" s="39"/>
      <c r="F45" s="39"/>
      <c r="G45" s="39"/>
      <c r="H45" s="40"/>
      <c r="I45" s="38"/>
      <c r="J45" s="38"/>
      <c r="K45" s="38"/>
      <c r="L45" s="38"/>
      <c r="M45" s="38"/>
      <c r="N45" s="38"/>
      <c r="O45" s="41"/>
      <c r="P45" s="41"/>
      <c r="Q45" s="41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2"/>
      <c r="AG45" s="32"/>
      <c r="AH45" s="42"/>
      <c r="AI45" s="42"/>
      <c r="AJ45" s="42"/>
      <c r="AK45" s="42"/>
      <c r="AL45" s="32"/>
      <c r="AM45" s="38"/>
      <c r="AN45" s="38"/>
      <c r="AO45" s="38"/>
      <c r="AP45" s="38"/>
      <c r="AQ45" s="32"/>
      <c r="AR45" s="32"/>
      <c r="AS45" s="32"/>
      <c r="AT45" s="32"/>
      <c r="AU45" s="32"/>
      <c r="AV45" s="32"/>
      <c r="AW45" s="32"/>
      <c r="AX45" s="32"/>
      <c r="AY45" s="32"/>
    </row>
    <row r="46" spans="1:51" x14ac:dyDescent="0.25">
      <c r="A46" s="43"/>
      <c r="B46" s="43"/>
      <c r="C46" s="43"/>
      <c r="D46" s="43"/>
      <c r="E46" s="44"/>
      <c r="F46" s="44"/>
      <c r="G46" s="44"/>
      <c r="H46" s="44"/>
      <c r="I46" s="43"/>
      <c r="J46" s="43"/>
      <c r="K46" s="43"/>
      <c r="L46" s="43"/>
      <c r="M46" s="43"/>
      <c r="N46" s="43"/>
      <c r="O46" s="45"/>
      <c r="P46" s="45"/>
      <c r="Q46" s="45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32"/>
      <c r="AG46" s="32"/>
      <c r="AH46" s="43"/>
      <c r="AI46" s="43"/>
      <c r="AJ46" s="43"/>
      <c r="AK46" s="43"/>
      <c r="AL46" s="32"/>
      <c r="AM46" s="43"/>
      <c r="AN46" s="43"/>
      <c r="AO46" s="43"/>
      <c r="AP46" s="43"/>
      <c r="AQ46" s="43"/>
      <c r="AR46" s="32"/>
      <c r="AS46" s="32"/>
      <c r="AT46" s="32"/>
      <c r="AU46" s="32"/>
      <c r="AV46" s="32"/>
      <c r="AW46" s="32"/>
      <c r="AX46" s="32"/>
      <c r="AY46" s="32"/>
    </row>
    <row r="47" spans="1:51" x14ac:dyDescent="0.25">
      <c r="A47" s="32"/>
      <c r="B47" s="35"/>
      <c r="C47" s="46"/>
      <c r="D47" s="46"/>
      <c r="E47" s="47"/>
      <c r="F47" s="47"/>
      <c r="G47" s="47"/>
      <c r="H47" s="48"/>
      <c r="I47" s="32"/>
      <c r="J47" s="32"/>
      <c r="K47" s="32"/>
      <c r="L47" s="32"/>
      <c r="M47" s="32"/>
      <c r="N47" s="32"/>
      <c r="O47" s="35"/>
      <c r="P47" s="35"/>
      <c r="Q47" s="35"/>
      <c r="R47" s="49"/>
      <c r="S47" s="49"/>
      <c r="T47" s="49"/>
      <c r="U47" s="49"/>
      <c r="V47" s="49"/>
      <c r="W47" s="32"/>
      <c r="X47" s="49"/>
      <c r="Y47" s="36"/>
      <c r="Z47" s="50"/>
      <c r="AA47" s="50"/>
      <c r="AB47" s="32"/>
      <c r="AC47" s="32"/>
      <c r="AD47" s="32"/>
      <c r="AE47" s="32"/>
      <c r="AF47" s="32"/>
      <c r="AG47" s="32"/>
      <c r="AH47" s="32"/>
      <c r="AI47" s="35"/>
      <c r="AJ47" s="35"/>
      <c r="AK47" s="32"/>
      <c r="AL47" s="32"/>
      <c r="AM47" s="32"/>
      <c r="AN47" s="35"/>
      <c r="AO47" s="35"/>
      <c r="AP47" s="35"/>
      <c r="AQ47" s="35"/>
      <c r="AR47" s="32"/>
      <c r="AS47" s="32"/>
      <c r="AT47" s="32"/>
      <c r="AU47" s="32"/>
      <c r="AV47" s="32"/>
      <c r="AW47" s="32"/>
      <c r="AX47" s="32"/>
      <c r="AY47" s="32"/>
    </row>
    <row r="48" spans="1:51" x14ac:dyDescent="0.25">
      <c r="A48" s="32"/>
      <c r="B48" s="35"/>
      <c r="C48" s="46"/>
      <c r="D48" s="46"/>
      <c r="E48" s="47"/>
      <c r="F48" s="47"/>
      <c r="G48" s="47"/>
      <c r="H48" s="48"/>
      <c r="I48" s="32"/>
      <c r="J48" s="32"/>
      <c r="K48" s="32"/>
      <c r="L48" s="32"/>
      <c r="M48" s="32"/>
      <c r="N48" s="32"/>
      <c r="O48" s="35"/>
      <c r="P48" s="35"/>
      <c r="Q48" s="35"/>
      <c r="R48" s="49"/>
      <c r="S48" s="49"/>
      <c r="T48" s="49"/>
      <c r="U48" s="49"/>
      <c r="V48" s="49"/>
      <c r="W48" s="32"/>
      <c r="X48" s="49"/>
      <c r="Y48" s="36"/>
      <c r="Z48" s="50"/>
      <c r="AA48" s="50"/>
      <c r="AB48" s="32"/>
      <c r="AC48" s="32"/>
      <c r="AD48" s="32"/>
      <c r="AE48" s="32"/>
      <c r="AF48" s="32"/>
      <c r="AG48" s="32"/>
      <c r="AH48" s="32"/>
      <c r="AI48" s="33"/>
      <c r="AJ48" s="33"/>
      <c r="AK48" s="32"/>
      <c r="AL48" s="32"/>
      <c r="AM48" s="36"/>
      <c r="AN48" s="33"/>
      <c r="AO48" s="33"/>
      <c r="AP48" s="33"/>
      <c r="AQ48" s="33"/>
      <c r="AR48" s="32"/>
      <c r="AS48" s="32"/>
      <c r="AT48" s="32"/>
      <c r="AU48" s="32"/>
      <c r="AV48" s="32"/>
      <c r="AW48" s="32"/>
      <c r="AX48" s="32"/>
      <c r="AY48" s="32"/>
    </row>
    <row r="49" spans="1:51" x14ac:dyDescent="0.25">
      <c r="A49" s="32"/>
      <c r="B49" s="35"/>
      <c r="C49" s="46"/>
      <c r="D49" s="46"/>
      <c r="E49" s="47"/>
      <c r="F49" s="47"/>
      <c r="G49" s="47"/>
      <c r="H49" s="48"/>
      <c r="I49" s="32"/>
      <c r="J49" s="32"/>
      <c r="K49" s="32"/>
      <c r="L49" s="32"/>
      <c r="M49" s="32"/>
      <c r="N49" s="32"/>
      <c r="O49" s="35"/>
      <c r="P49" s="35"/>
      <c r="Q49" s="35"/>
      <c r="R49" s="49"/>
      <c r="S49" s="49"/>
      <c r="T49" s="49"/>
      <c r="U49" s="49"/>
      <c r="V49" s="49"/>
      <c r="W49" s="32"/>
      <c r="X49" s="49"/>
      <c r="Y49" s="36"/>
      <c r="Z49" s="50"/>
      <c r="AA49" s="50"/>
      <c r="AB49" s="32"/>
      <c r="AC49" s="32"/>
      <c r="AD49" s="32"/>
      <c r="AE49" s="32"/>
      <c r="AF49" s="32"/>
      <c r="AG49" s="32"/>
      <c r="AH49" s="32"/>
      <c r="AI49" s="33"/>
      <c r="AJ49" s="33"/>
      <c r="AK49" s="32"/>
      <c r="AL49" s="32"/>
      <c r="AM49" s="36"/>
      <c r="AN49" s="33"/>
      <c r="AO49" s="33"/>
      <c r="AP49" s="33"/>
      <c r="AQ49" s="33"/>
      <c r="AR49" s="32"/>
      <c r="AS49" s="32"/>
      <c r="AT49" s="32"/>
      <c r="AU49" s="32"/>
      <c r="AV49" s="32"/>
      <c r="AW49" s="32"/>
      <c r="AX49" s="32"/>
      <c r="AY49" s="32"/>
    </row>
    <row r="50" spans="1:51" x14ac:dyDescent="0.25">
      <c r="A50" s="32"/>
      <c r="B50" s="35"/>
      <c r="C50" s="46"/>
      <c r="D50" s="46"/>
      <c r="E50" s="47"/>
      <c r="F50" s="47"/>
      <c r="G50" s="47"/>
      <c r="H50" s="48"/>
      <c r="I50" s="32"/>
      <c r="J50" s="32"/>
      <c r="K50" s="32"/>
      <c r="L50" s="32"/>
      <c r="M50" s="32"/>
      <c r="N50" s="32"/>
      <c r="O50" s="35"/>
      <c r="P50" s="35"/>
      <c r="Q50" s="35"/>
      <c r="R50" s="49"/>
      <c r="S50" s="49"/>
      <c r="T50" s="49"/>
      <c r="U50" s="49"/>
      <c r="V50" s="49"/>
      <c r="W50" s="32"/>
      <c r="X50" s="49"/>
      <c r="Y50" s="36"/>
      <c r="Z50" s="50"/>
      <c r="AA50" s="50"/>
      <c r="AB50" s="32"/>
      <c r="AC50" s="32"/>
      <c r="AD50" s="32"/>
      <c r="AE50" s="32"/>
      <c r="AF50" s="32"/>
      <c r="AG50" s="32"/>
      <c r="AH50" s="32"/>
      <c r="AI50" s="33"/>
      <c r="AJ50" s="33"/>
      <c r="AK50" s="32"/>
      <c r="AL50" s="32"/>
      <c r="AM50" s="36"/>
      <c r="AN50" s="33"/>
      <c r="AO50" s="33"/>
      <c r="AP50" s="33"/>
      <c r="AQ50" s="33"/>
      <c r="AR50" s="32"/>
      <c r="AS50" s="32"/>
      <c r="AT50" s="32"/>
      <c r="AU50" s="32"/>
      <c r="AV50" s="32"/>
      <c r="AW50" s="32"/>
      <c r="AX50" s="32"/>
      <c r="AY50" s="32"/>
    </row>
    <row r="51" spans="1:51" x14ac:dyDescent="0.25">
      <c r="A51" s="32"/>
      <c r="B51" s="35"/>
      <c r="C51" s="46"/>
      <c r="D51" s="46"/>
      <c r="E51" s="47"/>
      <c r="F51" s="47"/>
      <c r="G51" s="47"/>
      <c r="H51" s="48"/>
      <c r="I51" s="32"/>
      <c r="J51" s="32"/>
      <c r="K51" s="32"/>
      <c r="L51" s="32"/>
      <c r="M51" s="32"/>
      <c r="N51" s="32"/>
      <c r="O51" s="35"/>
      <c r="P51" s="35"/>
      <c r="Q51" s="35"/>
      <c r="R51" s="49"/>
      <c r="S51" s="49"/>
      <c r="T51" s="49"/>
      <c r="U51" s="49"/>
      <c r="V51" s="49"/>
      <c r="W51" s="32"/>
      <c r="X51" s="49"/>
      <c r="Y51" s="36"/>
      <c r="Z51" s="50"/>
      <c r="AA51" s="50"/>
      <c r="AB51" s="32"/>
      <c r="AC51" s="32"/>
      <c r="AD51" s="32"/>
      <c r="AE51" s="32"/>
      <c r="AF51" s="32"/>
      <c r="AG51" s="32"/>
      <c r="AH51" s="32"/>
      <c r="AI51" s="33"/>
      <c r="AJ51" s="33"/>
      <c r="AK51" s="32"/>
      <c r="AL51" s="32"/>
      <c r="AM51" s="32"/>
      <c r="AN51" s="33"/>
      <c r="AO51" s="33"/>
      <c r="AP51" s="33"/>
      <c r="AQ51" s="33"/>
      <c r="AR51" s="32"/>
      <c r="AS51" s="32"/>
      <c r="AT51" s="32"/>
      <c r="AU51" s="32"/>
      <c r="AV51" s="32"/>
      <c r="AW51" s="32"/>
      <c r="AX51" s="32"/>
      <c r="AY51" s="32"/>
    </row>
    <row r="52" spans="1:51" x14ac:dyDescent="0.25">
      <c r="A52" s="32"/>
      <c r="B52" s="35"/>
      <c r="C52" s="46"/>
      <c r="D52" s="46"/>
      <c r="E52" s="47"/>
      <c r="F52" s="47"/>
      <c r="G52" s="47"/>
      <c r="H52" s="48"/>
      <c r="I52" s="32"/>
      <c r="J52" s="32"/>
      <c r="K52" s="32"/>
      <c r="L52" s="32"/>
      <c r="M52" s="32"/>
      <c r="N52" s="32"/>
      <c r="O52" s="35"/>
      <c r="P52" s="35"/>
      <c r="Q52" s="35"/>
      <c r="R52" s="49"/>
      <c r="S52" s="49"/>
      <c r="T52" s="49"/>
      <c r="U52" s="49"/>
      <c r="V52" s="49"/>
      <c r="W52" s="32"/>
      <c r="X52" s="49"/>
      <c r="Y52" s="36"/>
      <c r="Z52" s="50"/>
      <c r="AA52" s="50"/>
      <c r="AB52" s="32"/>
      <c r="AC52" s="32"/>
      <c r="AD52" s="32"/>
      <c r="AE52" s="32"/>
      <c r="AF52" s="32"/>
      <c r="AG52" s="32"/>
      <c r="AH52" s="32"/>
      <c r="AI52" s="33"/>
      <c r="AJ52" s="33"/>
      <c r="AK52" s="32"/>
      <c r="AL52" s="32"/>
      <c r="AM52" s="36"/>
      <c r="AN52" s="33"/>
      <c r="AO52" s="33"/>
      <c r="AP52" s="33"/>
      <c r="AQ52" s="33"/>
      <c r="AR52" s="32"/>
      <c r="AS52" s="32"/>
      <c r="AT52" s="32"/>
      <c r="AU52" s="32"/>
      <c r="AV52" s="32"/>
      <c r="AW52" s="32"/>
      <c r="AX52" s="32"/>
      <c r="AY52" s="32"/>
    </row>
    <row r="53" spans="1:51" x14ac:dyDescent="0.25">
      <c r="A53" s="32"/>
      <c r="B53" s="35"/>
      <c r="C53" s="46"/>
      <c r="D53" s="46"/>
      <c r="E53" s="47"/>
      <c r="F53" s="47"/>
      <c r="G53" s="47"/>
      <c r="H53" s="48"/>
      <c r="I53" s="32"/>
      <c r="J53" s="32"/>
      <c r="K53" s="32"/>
      <c r="L53" s="32"/>
      <c r="M53" s="32"/>
      <c r="N53" s="32"/>
      <c r="O53" s="35"/>
      <c r="P53" s="35"/>
      <c r="Q53" s="35"/>
      <c r="R53" s="49"/>
      <c r="S53" s="49"/>
      <c r="T53" s="49"/>
      <c r="U53" s="49"/>
      <c r="V53" s="49"/>
      <c r="W53" s="32"/>
      <c r="X53" s="49"/>
      <c r="Y53" s="36"/>
      <c r="Z53" s="50"/>
      <c r="AA53" s="50"/>
      <c r="AB53" s="32"/>
      <c r="AC53" s="32"/>
      <c r="AD53" s="32"/>
      <c r="AE53" s="32"/>
      <c r="AF53" s="32"/>
      <c r="AG53" s="32"/>
      <c r="AH53" s="32"/>
      <c r="AI53" s="33"/>
      <c r="AJ53" s="33"/>
      <c r="AK53" s="32"/>
      <c r="AL53" s="32"/>
      <c r="AM53" s="32"/>
      <c r="AN53" s="33"/>
      <c r="AO53" s="33"/>
      <c r="AP53" s="33"/>
      <c r="AQ53" s="33"/>
      <c r="AR53" s="32"/>
      <c r="AS53" s="32"/>
      <c r="AT53" s="32"/>
      <c r="AU53" s="32"/>
      <c r="AV53" s="32"/>
      <c r="AW53" s="32"/>
      <c r="AX53" s="32"/>
      <c r="AY53" s="32"/>
    </row>
    <row r="54" spans="1:51" x14ac:dyDescent="0.25">
      <c r="A54" s="32"/>
      <c r="B54" s="35"/>
      <c r="C54" s="46"/>
      <c r="D54" s="46"/>
      <c r="E54" s="47"/>
      <c r="F54" s="47"/>
      <c r="G54" s="47"/>
      <c r="H54" s="48"/>
      <c r="I54" s="32"/>
      <c r="J54" s="32"/>
      <c r="K54" s="32"/>
      <c r="L54" s="32"/>
      <c r="M54" s="32"/>
      <c r="N54" s="32"/>
      <c r="O54" s="35"/>
      <c r="P54" s="35"/>
      <c r="Q54" s="35"/>
      <c r="R54" s="49"/>
      <c r="S54" s="49"/>
      <c r="T54" s="49"/>
      <c r="U54" s="49"/>
      <c r="V54" s="49"/>
      <c r="W54" s="32"/>
      <c r="X54" s="49"/>
      <c r="Y54" s="36"/>
      <c r="Z54" s="50"/>
      <c r="AA54" s="50"/>
      <c r="AB54" s="32"/>
      <c r="AC54" s="32"/>
      <c r="AD54" s="32"/>
      <c r="AE54" s="32"/>
      <c r="AF54" s="32"/>
      <c r="AG54" s="32"/>
      <c r="AH54" s="32"/>
      <c r="AI54" s="33"/>
      <c r="AJ54" s="33"/>
      <c r="AK54" s="32"/>
      <c r="AL54" s="32"/>
      <c r="AM54" s="36"/>
      <c r="AN54" s="33"/>
      <c r="AO54" s="33"/>
      <c r="AP54" s="33"/>
      <c r="AQ54" s="33"/>
      <c r="AR54" s="32"/>
      <c r="AS54" s="32"/>
      <c r="AT54" s="32"/>
      <c r="AU54" s="32"/>
      <c r="AV54" s="32"/>
      <c r="AW54" s="32"/>
      <c r="AX54" s="32"/>
      <c r="AY54" s="32"/>
    </row>
    <row r="55" spans="1:51" x14ac:dyDescent="0.25">
      <c r="A55" s="32"/>
      <c r="B55" s="35"/>
      <c r="C55" s="46"/>
      <c r="D55" s="46"/>
      <c r="E55" s="47"/>
      <c r="F55" s="47"/>
      <c r="G55" s="47"/>
      <c r="H55" s="48"/>
      <c r="I55" s="32"/>
      <c r="J55" s="32"/>
      <c r="K55" s="32"/>
      <c r="L55" s="32"/>
      <c r="M55" s="32"/>
      <c r="N55" s="32"/>
      <c r="O55" s="35"/>
      <c r="P55" s="35"/>
      <c r="Q55" s="35"/>
      <c r="R55" s="49"/>
      <c r="S55" s="49"/>
      <c r="T55" s="49"/>
      <c r="U55" s="49"/>
      <c r="V55" s="49"/>
      <c r="W55" s="32"/>
      <c r="X55" s="49"/>
      <c r="Y55" s="36"/>
      <c r="Z55" s="50"/>
      <c r="AA55" s="50"/>
      <c r="AB55" s="32"/>
      <c r="AC55" s="32"/>
      <c r="AD55" s="32"/>
      <c r="AE55" s="32"/>
      <c r="AF55" s="32"/>
      <c r="AG55" s="32"/>
      <c r="AH55" s="32"/>
      <c r="AI55" s="35"/>
      <c r="AJ55" s="35"/>
      <c r="AK55" s="32"/>
      <c r="AL55" s="32"/>
      <c r="AM55" s="32"/>
      <c r="AN55" s="35"/>
      <c r="AO55" s="35"/>
      <c r="AP55" s="35"/>
      <c r="AQ55" s="35"/>
      <c r="AR55" s="32"/>
      <c r="AS55" s="32"/>
      <c r="AT55" s="32"/>
      <c r="AU55" s="32"/>
      <c r="AV55" s="32"/>
      <c r="AW55" s="32"/>
      <c r="AX55" s="32"/>
      <c r="AY55" s="32"/>
    </row>
    <row r="56" spans="1:51" x14ac:dyDescent="0.25">
      <c r="A56" s="32"/>
      <c r="B56" s="35"/>
      <c r="C56" s="46"/>
      <c r="D56" s="46"/>
      <c r="E56" s="47"/>
      <c r="F56" s="47"/>
      <c r="G56" s="47"/>
      <c r="H56" s="48"/>
      <c r="I56" s="32"/>
      <c r="J56" s="32"/>
      <c r="K56" s="32"/>
      <c r="L56" s="32"/>
      <c r="M56" s="32"/>
      <c r="N56" s="32"/>
      <c r="O56" s="35"/>
      <c r="P56" s="35"/>
      <c r="Q56" s="35"/>
      <c r="R56" s="49"/>
      <c r="S56" s="49"/>
      <c r="T56" s="32"/>
      <c r="U56" s="32"/>
      <c r="V56" s="32"/>
      <c r="W56" s="32"/>
      <c r="X56" s="32"/>
      <c r="Y56" s="32"/>
      <c r="Z56" s="50"/>
      <c r="AA56" s="50"/>
      <c r="AB56" s="32"/>
      <c r="AC56" s="32"/>
      <c r="AD56" s="32"/>
      <c r="AE56" s="32"/>
      <c r="AF56" s="32"/>
      <c r="AG56" s="32"/>
      <c r="AH56" s="32"/>
      <c r="AI56" s="35"/>
      <c r="AJ56" s="35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</row>
    <row r="57" spans="1:51" x14ac:dyDescent="0.25">
      <c r="A57" s="32"/>
      <c r="B57" s="35"/>
      <c r="C57" s="46"/>
      <c r="D57" s="46"/>
      <c r="E57" s="47"/>
      <c r="F57" s="47"/>
      <c r="G57" s="47"/>
      <c r="H57" s="48"/>
      <c r="I57" s="32"/>
      <c r="J57" s="32"/>
      <c r="K57" s="32"/>
      <c r="L57" s="32"/>
      <c r="M57" s="32"/>
      <c r="N57" s="32"/>
      <c r="O57" s="35"/>
      <c r="P57" s="35"/>
      <c r="Q57" s="35"/>
      <c r="R57" s="49"/>
      <c r="S57" s="49"/>
      <c r="T57" s="32"/>
      <c r="U57" s="32"/>
      <c r="V57" s="32"/>
      <c r="W57" s="32"/>
      <c r="X57" s="32"/>
      <c r="Y57" s="32"/>
      <c r="Z57" s="50"/>
      <c r="AA57" s="50"/>
      <c r="AB57" s="32"/>
      <c r="AC57" s="32"/>
      <c r="AD57" s="32"/>
      <c r="AE57" s="32"/>
      <c r="AF57" s="32"/>
      <c r="AG57" s="32"/>
      <c r="AH57" s="32"/>
      <c r="AI57" s="35"/>
      <c r="AJ57" s="35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</row>
    <row r="58" spans="1:51" x14ac:dyDescent="0.25">
      <c r="A58" s="32"/>
      <c r="B58" s="35"/>
      <c r="C58" s="46"/>
      <c r="D58" s="46"/>
      <c r="E58" s="47"/>
      <c r="F58" s="47"/>
      <c r="G58" s="47"/>
      <c r="H58" s="48"/>
      <c r="I58" s="32"/>
      <c r="J58" s="32"/>
      <c r="K58" s="32"/>
      <c r="L58" s="32"/>
      <c r="M58" s="32"/>
      <c r="N58" s="32"/>
      <c r="O58" s="35"/>
      <c r="P58" s="35"/>
      <c r="Q58" s="35"/>
      <c r="R58" s="49"/>
      <c r="S58" s="49"/>
      <c r="T58" s="32"/>
      <c r="U58" s="32"/>
      <c r="V58" s="32"/>
      <c r="W58" s="32"/>
      <c r="X58" s="32"/>
      <c r="Y58" s="32"/>
      <c r="Z58" s="50"/>
      <c r="AA58" s="50"/>
      <c r="AB58" s="32"/>
      <c r="AC58" s="32"/>
      <c r="AD58" s="32"/>
      <c r="AE58" s="32"/>
      <c r="AF58" s="32"/>
      <c r="AG58" s="32"/>
      <c r="AH58" s="32"/>
      <c r="AI58" s="35"/>
      <c r="AJ58" s="35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</row>
    <row r="59" spans="1:51" x14ac:dyDescent="0.25">
      <c r="A59" s="32"/>
      <c r="B59" s="35"/>
      <c r="C59" s="46"/>
      <c r="D59" s="46"/>
      <c r="E59" s="47"/>
      <c r="F59" s="47"/>
      <c r="G59" s="47"/>
      <c r="H59" s="48"/>
      <c r="I59" s="32"/>
      <c r="J59" s="32"/>
      <c r="K59" s="32"/>
      <c r="L59" s="32"/>
      <c r="M59" s="32"/>
      <c r="N59" s="32"/>
      <c r="O59" s="35"/>
      <c r="P59" s="35"/>
      <c r="Q59" s="35"/>
      <c r="R59" s="49"/>
      <c r="S59" s="49"/>
      <c r="T59" s="32"/>
      <c r="U59" s="32"/>
      <c r="V59" s="32"/>
      <c r="W59" s="32"/>
      <c r="X59" s="32"/>
      <c r="Y59" s="32"/>
      <c r="Z59" s="50"/>
      <c r="AA59" s="50"/>
      <c r="AB59" s="32"/>
      <c r="AC59" s="32"/>
      <c r="AD59" s="32"/>
      <c r="AE59" s="32"/>
      <c r="AF59" s="32"/>
      <c r="AG59" s="32"/>
      <c r="AH59" s="32"/>
      <c r="AI59" s="35"/>
      <c r="AJ59" s="35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</row>
    <row r="60" spans="1:51" x14ac:dyDescent="0.25">
      <c r="A60" s="32"/>
      <c r="B60" s="35"/>
      <c r="C60" s="46"/>
      <c r="D60" s="46"/>
      <c r="E60" s="47"/>
      <c r="F60" s="47"/>
      <c r="G60" s="47"/>
      <c r="H60" s="48"/>
      <c r="I60" s="32"/>
      <c r="J60" s="32"/>
      <c r="K60" s="32"/>
      <c r="L60" s="32"/>
      <c r="M60" s="32"/>
      <c r="N60" s="32"/>
      <c r="O60" s="35"/>
      <c r="P60" s="35"/>
      <c r="Q60" s="35"/>
      <c r="R60" s="49"/>
      <c r="S60" s="49"/>
      <c r="T60" s="32"/>
      <c r="U60" s="32"/>
      <c r="V60" s="32"/>
      <c r="W60" s="32"/>
      <c r="X60" s="32"/>
      <c r="Y60" s="32"/>
      <c r="Z60" s="50"/>
      <c r="AA60" s="50"/>
      <c r="AB60" s="32"/>
      <c r="AC60" s="32"/>
      <c r="AD60" s="32"/>
      <c r="AE60" s="32"/>
      <c r="AF60" s="32"/>
      <c r="AG60" s="32"/>
      <c r="AH60" s="32"/>
      <c r="AI60" s="35"/>
      <c r="AJ60" s="35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</row>
    <row r="61" spans="1:51" x14ac:dyDescent="0.25">
      <c r="A61" s="32"/>
      <c r="B61" s="32"/>
      <c r="C61" s="32"/>
      <c r="D61" s="32"/>
      <c r="E61" s="33"/>
      <c r="F61" s="33"/>
      <c r="G61" s="33"/>
      <c r="H61" s="34"/>
      <c r="I61" s="32"/>
      <c r="J61" s="32"/>
      <c r="K61" s="32"/>
      <c r="L61" s="32"/>
      <c r="M61" s="32"/>
      <c r="N61" s="32"/>
      <c r="O61" s="35"/>
      <c r="P61" s="35"/>
      <c r="Q61" s="35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</row>
    <row r="62" spans="1:51" x14ac:dyDescent="0.25">
      <c r="A62" s="32"/>
      <c r="B62" s="32"/>
      <c r="C62" s="32"/>
      <c r="D62" s="32"/>
      <c r="E62" s="33"/>
      <c r="F62" s="33"/>
      <c r="G62" s="33"/>
      <c r="H62" s="34"/>
      <c r="I62" s="32"/>
      <c r="J62" s="32"/>
      <c r="K62" s="32"/>
      <c r="L62" s="32"/>
      <c r="M62" s="32"/>
      <c r="N62" s="32"/>
      <c r="O62" s="35"/>
      <c r="P62" s="35"/>
      <c r="Q62" s="35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</row>
    <row r="63" spans="1:51" x14ac:dyDescent="0.25">
      <c r="A63" s="32"/>
      <c r="B63" s="32"/>
      <c r="C63" s="32"/>
      <c r="D63" s="32"/>
      <c r="E63" s="33"/>
      <c r="F63" s="33"/>
      <c r="G63" s="33"/>
      <c r="H63" s="34"/>
      <c r="I63" s="32"/>
      <c r="J63" s="32"/>
      <c r="K63" s="32"/>
      <c r="L63" s="32"/>
      <c r="M63" s="32"/>
      <c r="N63" s="32"/>
      <c r="O63" s="35"/>
      <c r="P63" s="35"/>
      <c r="Q63" s="35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</vt:lpstr>
      <vt:lpstr>Analysis</vt:lpstr>
      <vt:lpstr>Materials</vt:lpstr>
      <vt:lpstr>Bush&amp;Pin_Data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Lucas Bernacer Soriano</cp:lastModifiedBy>
  <dcterms:created xsi:type="dcterms:W3CDTF">2014-01-24T12:34:25Z</dcterms:created>
  <dcterms:modified xsi:type="dcterms:W3CDTF">2021-03-31T09:49:12Z</dcterms:modified>
</cp:coreProperties>
</file>