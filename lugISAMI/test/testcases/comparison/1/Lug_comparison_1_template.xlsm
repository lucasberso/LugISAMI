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testcases\comparison\1\"/>
    </mc:Choice>
  </mc:AlternateContent>
  <bookViews>
    <workbookView xWindow="0" yWindow="0" windowWidth="28800" windowHeight="12300" activeTab="1"/>
  </bookViews>
  <sheets>
    <sheet name="Instrucciones" sheetId="6" r:id="rId1"/>
    <sheet name="Analysis" sheetId="1" r:id="rId2"/>
    <sheet name="Materials" sheetId="2" r:id="rId3"/>
    <sheet name="Bush&amp;Pin_Data" sheetId="5" r:id="rId4"/>
  </sheets>
  <externalReferences>
    <externalReference r:id="rId5"/>
    <externalReference r:id="rId6"/>
    <externalReference r:id="rId7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T4" i="1" l="1"/>
  <c r="S4" i="1" l="1"/>
  <c r="Q4" i="1"/>
  <c r="P4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<sst xmlns="http://schemas.openxmlformats.org/spreadsheetml/2006/main" count="202" uniqueCount="149">
  <si>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</si>
  <si>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</si>
  <si>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</si>
  <si>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</si>
  <si>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</si>
  <si>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</si>
  <si>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</si>
  <si>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</si>
  <si>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</si>
  <si>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</si>
  <si>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</si>
  <si>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</si>
  <si>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</si>
  <si>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</si>
  <si>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</si>
  <si>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</si>
  <si>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</si>
  <si>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</si>
  <si>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</si>
  <si>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</si>
  <si>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</si>
  <si>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</si>
  <si>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</si>
  <si>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</si>
  <si>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</si>
  <si>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</si>
  <si>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</si>
  <si>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</si>
  <si>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</si>
  <si>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</si>
  <si>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</si>
  <si>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</si>
  <si>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</si>
  <si>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</si>
  <si>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</si>
  <si>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</si>
  <si>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</si>
  <si>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</si>
  <si>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</si>
  <si>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</si>
  <si>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</si>
  <si>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</si>
  <si>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</si>
  <si>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</si>
  <si>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</si>
  <si>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</si>
  <si>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</si>
  <si>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</si>
  <si>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</si>
  <si>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</si>
  <si>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</si>
  <si>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</si>
  <si>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</si>
  <si>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</si>
  <si>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</si>
  <si>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</si>
  <si>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</si>
  <si>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</si>
  <si>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</si>
  <si>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</si>
  <si>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</si>
  <si>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</si>
  <si>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</si>
  <si>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</si>
  <si>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</si>
  <si>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</si>
  <si>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</si>
  <si>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</si>
  <si>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</si>
  <si>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</si>
  <si>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</si>
  <si>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</si>
  <si>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</si>
  <si>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</si>
  <si>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</si>
  <si>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</si>
  <si>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</si>
  <si>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</si>
  <si>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</si>
  <si>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</si>
  <si>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</si>
  <si>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</si>
  <si>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</si>
  <si>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</si>
  <si>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</si>
  <si>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</si>
  <si>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</si>
  <si>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</si>
  <si>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</si>
  <si>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</si>
  <si>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</si>
  <si>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</si>
  <si>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</si>
  <si>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</si>
  <si>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</si>
  <si>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</si>
  <si>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</si>
  <si>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</si>
  <si>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</si>
  <si>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</si>
  <si>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</si>
  <si>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</si>
  <si>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</si>
  <si>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</si>
  <si>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</si>
  <si>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</si>
  <si>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</si>
  <si>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</si>
  <si>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</si>
  <si>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</si>
  <si>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</si>
  <si>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</si>
  <si>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</si>
  <si>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</si>
  <si>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</si>
  <si>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</si>
  <si>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</si>
  <si>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</si>
  <si>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</si>
  <si>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</si>
  <si>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</si>
  <si>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</si>
  <si>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</si>
  <si>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</si>
  <si>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</si>
  <si>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Kt</t>
  </si>
  <si>
    <t>Al-7050-T7451</t>
  </si>
  <si>
    <t>Al-7175-T7351</t>
  </si>
  <si>
    <t>Rod_FR41_STR4_LHS_Upper</t>
  </si>
  <si>
    <t>/LugResultantForce</t>
  </si>
  <si>
    <t>/LugResultantAngle</t>
  </si>
  <si>
    <t>/LoadingRatio</t>
  </si>
  <si>
    <t>/Width</t>
  </si>
  <si>
    <t>/Length</t>
  </si>
  <si>
    <t>/Thick</t>
  </si>
  <si>
    <t>/ThickUnstudied</t>
  </si>
  <si>
    <t>/PinOffsetX</t>
  </si>
  <si>
    <t>/PinOffsetY</t>
  </si>
  <si>
    <t>/SuperiorAngle</t>
  </si>
  <si>
    <t>/InferiorAngle</t>
  </si>
  <si>
    <t>/ShearType</t>
  </si>
  <si>
    <t>/StructureMaterial</t>
  </si>
  <si>
    <t>Standar Pin</t>
  </si>
  <si>
    <t>/Diameter</t>
  </si>
  <si>
    <t>/Material</t>
  </si>
  <si>
    <t>Standar Bush</t>
  </si>
  <si>
    <t>/BushExternalDiameter</t>
  </si>
  <si>
    <t>/BushMaterial</t>
  </si>
  <si>
    <t>/Orientation_init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</si>
</sst>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5"/>
    <col min="7" max="7" width="11.42578125" style="55" customWidth="1"/>
    <col min="8" max="8" width="13.5703125" style="55" customWidth="1"/>
    <col min="9" max="16384" width="11.42578125" style="5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L5"/>
  <sheetViews>
    <sheetView tabSelected="1" zoomScaleNormal="100" workbookViewId="0"/>
  </sheetViews>
  <sheetFormatPr baseColWidth="10"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8.140625" style="1" bestFit="1" customWidth="1"/>
    <col min="15" max="15" width="11.5703125" style="1" bestFit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0.85546875" style="1" hidden="1" customWidth="1"/>
    <col min="22" max="23" width="11.42578125" style="1"/>
    <col min="24" max="24" width="13.85546875" style="1" hidden="1" customWidth="1"/>
    <col min="25" max="16384" width="11.42578125" style="1"/>
  </cols>
  <sheetData>
    <row r="1" spans="1:38" ht="15" customHeight="1" x14ac:dyDescent="0.25">
      <c r="E1" s="60" t="s">
        <v>14</v>
      </c>
      <c r="F1" s="61"/>
      <c r="G1" s="61"/>
      <c r="H1" s="61"/>
      <c r="I1" s="61"/>
      <c r="J1" s="61"/>
      <c r="K1" s="61"/>
      <c r="L1" s="61"/>
      <c r="M1" s="61"/>
      <c r="N1" s="62"/>
      <c r="O1" s="63" t="s">
        <v>1</v>
      </c>
      <c r="P1" s="64"/>
      <c r="Q1" s="65"/>
      <c r="R1" s="66" t="s">
        <v>3</v>
      </c>
      <c r="S1" s="67"/>
      <c r="T1" s="68"/>
      <c r="U1" s="69" t="s">
        <v>108</v>
      </c>
      <c r="V1" s="71" t="s">
        <v>125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ht="15" customHeight="1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70"/>
      <c r="V2" s="7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ht="15" hidden="1" customHeight="1" x14ac:dyDescent="0.25">
      <c r="A3" s="8" t="s">
        <v>4</v>
      </c>
      <c r="B3" s="59" t="s">
        <v>129</v>
      </c>
      <c r="C3" s="59" t="s">
        <v>130</v>
      </c>
      <c r="D3" s="59" t="s">
        <v>131</v>
      </c>
      <c r="E3" s="6" t="s">
        <v>132</v>
      </c>
      <c r="F3" s="6" t="s">
        <v>133</v>
      </c>
      <c r="G3" s="6" t="s">
        <v>134</v>
      </c>
      <c r="H3" s="6" t="s">
        <v>135</v>
      </c>
      <c r="I3" s="6" t="s">
        <v>136</v>
      </c>
      <c r="J3" s="6" t="s">
        <v>137</v>
      </c>
      <c r="K3" s="6" t="s">
        <v>138</v>
      </c>
      <c r="L3" s="6" t="s">
        <v>139</v>
      </c>
      <c r="M3" s="6" t="s">
        <v>140</v>
      </c>
      <c r="N3" s="6" t="s">
        <v>141</v>
      </c>
      <c r="O3" s="5" t="s">
        <v>142</v>
      </c>
      <c r="P3" s="5" t="s">
        <v>143</v>
      </c>
      <c r="Q3" s="5" t="s">
        <v>144</v>
      </c>
      <c r="R3" s="7" t="s">
        <v>145</v>
      </c>
      <c r="S3" s="7" t="s">
        <v>146</v>
      </c>
      <c r="T3" s="7" t="s">
        <v>147</v>
      </c>
      <c r="U3" s="57" t="s">
        <v>148</v>
      </c>
      <c r="V3" s="58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25">
      <c r="A4" s="3" t="s">
        <v>128</v>
      </c>
      <c r="B4" s="3">
        <v>1000</v>
      </c>
      <c r="C4" s="3">
        <v>70</v>
      </c>
      <c r="D4" s="56">
        <v>0.1</v>
      </c>
      <c r="E4" s="56">
        <v>33.4</v>
      </c>
      <c r="F4" s="56">
        <v>50.400000000000006</v>
      </c>
      <c r="G4" s="56">
        <v>6.6</v>
      </c>
      <c r="H4" s="56">
        <v>11.71</v>
      </c>
      <c r="I4" s="3">
        <v>0</v>
      </c>
      <c r="J4" s="3">
        <v>0</v>
      </c>
      <c r="K4" s="3">
        <v>0</v>
      </c>
      <c r="L4" s="3">
        <v>0</v>
      </c>
      <c r="M4" s="3" t="s">
        <v>107</v>
      </c>
      <c r="N4" s="3" t="s">
        <v>126</v>
      </c>
      <c r="O4" s="3" t="s">
        <v>65</v>
      </c>
      <c r="P4" s="56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56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  <c r="V4" s="3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25">
      <c r="A5"/>
    </row>
  </sheetData>
  <mergeCells count="5">
    <mergeCell ref="E1:N1"/>
    <mergeCell ref="O1:Q1"/>
    <mergeCell ref="R1:T1"/>
    <mergeCell ref="U1:U2"/>
    <mergeCell ref="V1:V2"/>
  </mergeCells>
  <dataValidations count="2">
    <dataValidation type="list" allowBlank="1" showInputMessage="1" showErrorMessage="1" sqref="M4">
      <formula1>$X$4:$X$4</formula1>
    </dataValidation>
    <dataValidation type="list" allowBlank="1" showInputMessage="1" showErrorMessage="1" sqref="U4">
      <formula1>#REF!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N4</xm:sqref>
        </x14:dataValidation>
        <x14:dataValidation type="list" allowBlank="1" showInputMessage="1" showErrorMessage="1">
          <x14:formula1>
            <xm:f>'Bush&amp;Pin_Data'!$J$4:$J$17</xm:f>
          </x14:formula1>
          <xm:sqref>R4</xm:sqref>
        </x14:dataValidation>
        <x14:dataValidation type="list" allowBlank="1" showInputMessage="1" showErrorMessage="1">
          <x14:formula1>
            <xm:f>'Bush&amp;Pin_Data'!$B$4:$B$13</xm:f>
          </x14:formula1>
          <xm:sqref>O4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B5" sqref="B5:B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3" t="s">
        <v>19</v>
      </c>
      <c r="C3" s="73"/>
      <c r="D3" s="73"/>
      <c r="E3" s="73"/>
      <c r="F3" s="73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110</v>
      </c>
    </row>
    <row r="5" spans="2:6" x14ac:dyDescent="0.25">
      <c r="B5" s="9" t="s">
        <v>123</v>
      </c>
      <c r="C5" s="3" t="s">
        <v>111</v>
      </c>
      <c r="D5" s="3" t="s">
        <v>116</v>
      </c>
      <c r="E5" s="3" t="s">
        <v>115</v>
      </c>
      <c r="F5" s="3" t="s">
        <v>121</v>
      </c>
    </row>
    <row r="6" spans="2:6" x14ac:dyDescent="0.25">
      <c r="B6" s="9" t="s">
        <v>124</v>
      </c>
      <c r="C6" s="3" t="s">
        <v>112</v>
      </c>
      <c r="D6" s="3" t="s">
        <v>122</v>
      </c>
      <c r="E6" s="3" t="s">
        <v>115</v>
      </c>
      <c r="F6" s="3" t="s">
        <v>121</v>
      </c>
    </row>
    <row r="7" spans="2:6" ht="15" customHeight="1" x14ac:dyDescent="0.25">
      <c r="B7" s="9" t="s">
        <v>126</v>
      </c>
      <c r="C7" s="3" t="s">
        <v>113</v>
      </c>
      <c r="D7" s="3" t="s">
        <v>117</v>
      </c>
      <c r="E7" s="3" t="s">
        <v>115</v>
      </c>
      <c r="F7" s="3" t="s">
        <v>119</v>
      </c>
    </row>
    <row r="8" spans="2:6" ht="15" customHeight="1" x14ac:dyDescent="0.25">
      <c r="B8" s="9" t="s">
        <v>127</v>
      </c>
      <c r="C8" s="3" t="s">
        <v>114</v>
      </c>
      <c r="D8" s="3" t="s">
        <v>118</v>
      </c>
      <c r="E8" s="3" t="s">
        <v>115</v>
      </c>
      <c r="F8" s="3" t="s">
        <v>120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78" t="s">
        <v>26</v>
      </c>
      <c r="C1" s="79"/>
      <c r="D1" s="79"/>
      <c r="E1" s="79"/>
      <c r="F1" s="79"/>
      <c r="G1" s="80"/>
      <c r="H1" s="78" t="s">
        <v>27</v>
      </c>
      <c r="I1" s="80"/>
      <c r="J1" s="78" t="s">
        <v>28</v>
      </c>
      <c r="K1" s="79"/>
      <c r="L1" s="79"/>
      <c r="M1" s="80"/>
      <c r="N1" s="78" t="s">
        <v>29</v>
      </c>
      <c r="O1" s="79"/>
      <c r="P1" s="79"/>
      <c r="Q1" s="79"/>
      <c r="R1" s="79"/>
      <c r="S1" s="79"/>
      <c r="T1" s="79"/>
    </row>
    <row r="2" spans="1:20" ht="30" x14ac:dyDescent="0.25">
      <c r="A2" s="10" t="s">
        <v>30</v>
      </c>
      <c r="B2" s="81" t="s">
        <v>31</v>
      </c>
      <c r="C2" s="74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81" t="s">
        <v>37</v>
      </c>
      <c r="I2" s="9" t="s">
        <v>38</v>
      </c>
      <c r="J2" s="81" t="s">
        <v>39</v>
      </c>
      <c r="K2" s="74" t="s">
        <v>32</v>
      </c>
      <c r="L2" s="9" t="s">
        <v>40</v>
      </c>
      <c r="M2" s="9" t="s">
        <v>41</v>
      </c>
      <c r="N2" s="81" t="s">
        <v>42</v>
      </c>
      <c r="O2" s="74" t="s">
        <v>43</v>
      </c>
      <c r="P2" s="74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81"/>
      <c r="C3" s="74"/>
      <c r="D3" s="9" t="s">
        <v>48</v>
      </c>
      <c r="E3" s="11" t="s">
        <v>49</v>
      </c>
      <c r="F3" s="11" t="s">
        <v>50</v>
      </c>
      <c r="G3" s="11" t="s">
        <v>51</v>
      </c>
      <c r="H3" s="81"/>
      <c r="I3" s="9" t="s">
        <v>52</v>
      </c>
      <c r="J3" s="81"/>
      <c r="K3" s="74"/>
      <c r="L3" s="9" t="s">
        <v>53</v>
      </c>
      <c r="M3" s="9" t="s">
        <v>54</v>
      </c>
      <c r="N3" s="81"/>
      <c r="O3" s="74"/>
      <c r="P3" s="74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5"/>
      <c r="B4" s="9" t="s">
        <v>59</v>
      </c>
      <c r="C4" s="9" t="s">
        <v>123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124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76"/>
      <c r="B5" s="9" t="s">
        <v>65</v>
      </c>
      <c r="C5" s="9" t="s">
        <v>123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124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76"/>
      <c r="B6" s="9" t="s">
        <v>69</v>
      </c>
      <c r="C6" s="9" t="s">
        <v>123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124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76"/>
      <c r="B7" s="9" t="s">
        <v>73</v>
      </c>
      <c r="C7" s="9" t="s">
        <v>123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124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76"/>
      <c r="B8" s="9" t="s">
        <v>77</v>
      </c>
      <c r="C8" s="9" t="s">
        <v>123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124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76"/>
      <c r="B9" s="9" t="s">
        <v>81</v>
      </c>
      <c r="C9" s="9" t="s">
        <v>123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124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76"/>
      <c r="B10" s="9" t="s">
        <v>85</v>
      </c>
      <c r="C10" s="9" t="s">
        <v>123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124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76"/>
      <c r="B11" s="9" t="s">
        <v>89</v>
      </c>
      <c r="C11" s="9" t="s">
        <v>123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124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76"/>
      <c r="B12" s="9" t="s">
        <v>93</v>
      </c>
      <c r="C12" s="9" t="s">
        <v>123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124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76"/>
      <c r="B13" s="16" t="s">
        <v>101</v>
      </c>
      <c r="C13" s="9" t="s">
        <v>124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124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76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124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76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124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76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124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76"/>
      <c r="H17" s="11" t="s">
        <v>102</v>
      </c>
      <c r="I17" s="11">
        <v>2.7690000000000001</v>
      </c>
      <c r="J17" s="19" t="s">
        <v>104</v>
      </c>
      <c r="K17" s="9" t="s">
        <v>124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76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76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76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77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Analysis</vt:lpstr>
      <vt:lpstr>Materials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2021-03-30T06:03:54Z</dcterms:modified>
</cp:coreProperties>
</file>