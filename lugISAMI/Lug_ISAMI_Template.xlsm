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s.bernacer\PycharmProjects\LugISAMI\lugISAMI\"/>
    </mc:Choice>
  </mc:AlternateContent>
  <bookViews>
    <workbookView xWindow="0" yWindow="0" windowWidth="28800" windowHeight="12300"/>
  </bookViews>
  <sheets>
    <sheet name="Instructions" sheetId="6" r:id="rId1"/>
    <sheet name="Analysis" sheetId="1" r:id="rId2"/>
    <sheet name="Materials" sheetId="2" r:id="rId3"/>
    <sheet name="Mat_Macro" sheetId="7" state="hidden" r:id="rId4"/>
    <sheet name="Bush&amp;Pin_Data" sheetId="5" r:id="rId5"/>
  </sheets>
  <externalReferences>
    <externalReference r:id="rId6"/>
    <externalReference r:id="rId7"/>
    <externalReference r:id="rId8"/>
  </externalReferences>
  <definedNames>
    <definedName name="BEARING_DATA">[1]Standards!$W$4:$AA$12</definedName>
    <definedName name="BUSHING_DATA">[1]Standards!$O$4:$V$12</definedName>
    <definedName name="Compression_LC">[1]Forces_Inputs!$H:$H</definedName>
    <definedName name="Compression_Load_UL">[1]Forces_Inputs!$G:$G</definedName>
    <definedName name="FastenerData">'[2]02_HardwareInfo'!$B$4:$F$18</definedName>
    <definedName name="FastenerEncabezado">'[2]02_HardwareInfo'!$B$3:$F$3</definedName>
    <definedName name="FastenerStandard">'[2]02_HardwareInfo'!$B$4:$B$18</definedName>
    <definedName name="IB_Mat_Name">[1]ISAMI_INPUT!$C$28</definedName>
    <definedName name="ID">[3]Sizing!$B$1:$B$65536</definedName>
    <definedName name="IL_MAT_NAME">[1]ISAMI_INPUT!$C$5</definedName>
    <definedName name="IL_Ro">[1]ISAMI_INPUT!$C$14</definedName>
    <definedName name="Material_list">Mat_Macro!$E$3:$E$17</definedName>
    <definedName name="OB_Mat_Name">[1]ISAMI_INPUT!$D$28</definedName>
    <definedName name="OL_Mat_Name">[1]ISAMI_INPUT!$D$5</definedName>
    <definedName name="Pin_Mat_Name">[1]ISAMI_INPUT!$C$19</definedName>
    <definedName name="Pin_Standard">[1]Standards!$H$4:$H$12</definedName>
    <definedName name="PINDATA">[1]Standards!$H$3:$N$12</definedName>
    <definedName name="PinLugData">'[2]02_HardwareInfo'!$H$4:$AA$18</definedName>
    <definedName name="PinLugEncabezado">'[2]02_HardwareInfo'!$H$3:$AA$3</definedName>
    <definedName name="PinStandard">'[2]02_HardwareInfo'!$H$4:$H$18</definedName>
    <definedName name="Pretension_Load_UL">[1]Forces_Inputs!$I:$I</definedName>
    <definedName name="Tension_LC">[1]Forces_Inputs!$E:$E</definedName>
    <definedName name="Tension_Load_UL">[1]Forces_Inputs!$D:$D</definedName>
  </definedNames>
  <calcPr calcId="162913"/>
</workbook>
</file>

<file path=xl/calcChain.xml><?xml version="1.0" encoding="utf-8"?>
<calcChain xmlns="http://schemas.openxmlformats.org/spreadsheetml/2006/main">
  <c r="D4" i="7" l="1"/>
  <c r="D5" i="7"/>
  <c r="D6" i="7"/>
  <c r="D9" i="7"/>
  <c r="D10" i="7"/>
  <c r="D11" i="7"/>
  <c r="D13" i="7"/>
  <c r="D14" i="7"/>
  <c r="D15" i="7"/>
  <c r="D16" i="7"/>
  <c r="D17" i="7"/>
  <c r="D3" i="7"/>
  <c r="C4" i="7"/>
  <c r="C5" i="7"/>
  <c r="C6" i="7"/>
  <c r="C7" i="7"/>
  <c r="D7" i="7" s="1"/>
  <c r="C8" i="7"/>
  <c r="D8" i="7" s="1"/>
  <c r="C9" i="7"/>
  <c r="C10" i="7"/>
  <c r="C11" i="7"/>
  <c r="C12" i="7"/>
  <c r="D12" i="7" s="1"/>
  <c r="C13" i="7"/>
  <c r="C14" i="7"/>
  <c r="C15" i="7"/>
  <c r="C16" i="7"/>
  <c r="C17" i="7"/>
  <c r="C3" i="7"/>
  <c r="E8" i="7" l="1"/>
  <c r="E9" i="7"/>
  <c r="E11" i="7"/>
  <c r="E12" i="7"/>
  <c r="E14" i="7"/>
  <c r="E10" i="7"/>
  <c r="E13" i="7"/>
  <c r="E15" i="7"/>
  <c r="E4" i="7"/>
  <c r="E16" i="7"/>
  <c r="E5" i="7"/>
  <c r="E17" i="7"/>
  <c r="E6" i="7"/>
  <c r="E3" i="7"/>
  <c r="E7" i="7"/>
  <c r="T4" i="1"/>
  <c r="S4" i="1"/>
  <c r="Q4" i="1"/>
  <c r="P4" i="1"/>
</calcChain>
</file>

<file path=xl/comments1.xml><?xml version="1.0" encoding="utf-8"?>
<comments xmlns="http://schemas.openxmlformats.org/spreadsheetml/2006/main">
  <authors>
    <author>Gema Noemí Gil García</author>
  </authors>
  <commentList>
    <comment ref="AE46" authorId="0" shapeId="0">
      <text>
        <r>
          <rPr>
            <b/>
            <sz val="8"/>
            <color indexed="81"/>
            <rFont val="Tahoma"/>
            <family val="2"/>
          </rPr>
          <t>Gema Noemí Gil García:</t>
        </r>
        <r>
          <rPr>
            <sz val="8"/>
            <color indexed="81"/>
            <rFont val="Tahoma"/>
            <family val="2"/>
          </rPr>
          <t xml:space="preserve">
según norma EN6046 va de 0.13 a 0.38 y cogemos lo peor que es la mayor separacion</t>
        </r>
      </text>
    </comment>
  </commentList>
</comments>
</file>

<file path=xl/sharedStrings.xml><?xml version="1.0" encoding="utf-8"?>
<sst xmlns="http://schemas.openxmlformats.org/spreadsheetml/2006/main" count="210" uniqueCount="156">
  <si>
    <t>D</t>
  </si>
  <si>
    <t>Pin</t>
  </si>
  <si>
    <t>Material</t>
  </si>
  <si>
    <t>Bush</t>
  </si>
  <si>
    <t>Location</t>
  </si>
  <si>
    <t>Type</t>
  </si>
  <si>
    <t>W(mm)</t>
  </si>
  <si>
    <t>L(mm)</t>
  </si>
  <si>
    <t>T1(mm)</t>
  </si>
  <si>
    <t>T2(mm)</t>
  </si>
  <si>
    <t>X_offset(mm)</t>
  </si>
  <si>
    <t>Sup.Angle(º)</t>
  </si>
  <si>
    <t>Inf.Angle (º)</t>
  </si>
  <si>
    <t>D_pin</t>
  </si>
  <si>
    <t xml:space="preserve">Lug </t>
  </si>
  <si>
    <t>Y_offset(mm)</t>
  </si>
  <si>
    <t>R</t>
  </si>
  <si>
    <t>Load(N)</t>
  </si>
  <si>
    <t>Angle(º)</t>
  </si>
  <si>
    <t>Materials</t>
  </si>
  <si>
    <t>Name</t>
  </si>
  <si>
    <t>ISAMI Name</t>
  </si>
  <si>
    <t>CODE</t>
  </si>
  <si>
    <t>User/Referenced</t>
  </si>
  <si>
    <t>D_bush</t>
  </si>
  <si>
    <t>Standar</t>
  </si>
  <si>
    <t>PIN DATA</t>
  </si>
  <si>
    <t>NUT DATA</t>
  </si>
  <si>
    <t>BUSH DATA</t>
  </si>
  <si>
    <t>BEARING DATA</t>
  </si>
  <si>
    <t>Standard nomenclature</t>
  </si>
  <si>
    <t>Pin Standard</t>
  </si>
  <si>
    <t>ISAMI
Material</t>
  </si>
  <si>
    <t>Thread Size</t>
  </si>
  <si>
    <t>E</t>
  </si>
  <si>
    <t>H</t>
  </si>
  <si>
    <t>-----</t>
  </si>
  <si>
    <t>Nut Standard</t>
  </si>
  <si>
    <t>L</t>
  </si>
  <si>
    <t>Bush Standard</t>
  </si>
  <si>
    <t>B</t>
  </si>
  <si>
    <t>C</t>
  </si>
  <si>
    <t>Bearing Standard</t>
  </si>
  <si>
    <t>ISAMI
Cage Material</t>
  </si>
  <si>
    <t>ISAMI
Ball Material</t>
  </si>
  <si>
    <t>d2</t>
  </si>
  <si>
    <t>r2</t>
  </si>
  <si>
    <t>ISAMI nomenclature</t>
  </si>
  <si>
    <t>DA</t>
  </si>
  <si>
    <t>DEE</t>
  </si>
  <si>
    <t>EPTV</t>
  </si>
  <si>
    <t>DIA</t>
  </si>
  <si>
    <t>EPEC</t>
  </si>
  <si>
    <t>DAL</t>
  </si>
  <si>
    <t>DEBE</t>
  </si>
  <si>
    <t>DIML</t>
  </si>
  <si>
    <t>DR</t>
  </si>
  <si>
    <t>LR</t>
  </si>
  <si>
    <t>EPCR</t>
  </si>
  <si>
    <t>ABS0114-3</t>
  </si>
  <si>
    <t>NSA5060E3</t>
  </si>
  <si>
    <t>NAS77-3</t>
  </si>
  <si>
    <t>EN6046-03</t>
  </si>
  <si>
    <t>15-5PH</t>
  </si>
  <si>
    <t>Marval X12</t>
  </si>
  <si>
    <t>ABS0114-4</t>
  </si>
  <si>
    <t>NSA5060E4</t>
  </si>
  <si>
    <t>NAS77-4</t>
  </si>
  <si>
    <t>EN6046-04</t>
  </si>
  <si>
    <t>ABS0114-5</t>
  </si>
  <si>
    <t>NSA5060E5</t>
  </si>
  <si>
    <t>NAS77-5</t>
  </si>
  <si>
    <t>EN6046-05</t>
  </si>
  <si>
    <t>ABS0114-6</t>
  </si>
  <si>
    <t>NSA5060E6</t>
  </si>
  <si>
    <t>NAS77-6</t>
  </si>
  <si>
    <t>EN6046-06</t>
  </si>
  <si>
    <t>ABS0114-7</t>
  </si>
  <si>
    <t>NSA5060E7</t>
  </si>
  <si>
    <t>NAS77-7</t>
  </si>
  <si>
    <t>EN6046-07</t>
  </si>
  <si>
    <t>ABS0114-8</t>
  </si>
  <si>
    <t>NSA5060E8</t>
  </si>
  <si>
    <t>NAS77-8</t>
  </si>
  <si>
    <t>EN6046-08</t>
  </si>
  <si>
    <t>ABS0114-9</t>
  </si>
  <si>
    <t>NSA5060E9</t>
  </si>
  <si>
    <t>NAS77-9</t>
  </si>
  <si>
    <t>EN6046-09</t>
  </si>
  <si>
    <t>ABS0114-10</t>
  </si>
  <si>
    <t>NSA5060E10</t>
  </si>
  <si>
    <t>NAS77-10</t>
  </si>
  <si>
    <t>EN6046-10</t>
  </si>
  <si>
    <t>ABS0114-12</t>
  </si>
  <si>
    <t>NSA5060E12</t>
  </si>
  <si>
    <t>NAS77-12</t>
  </si>
  <si>
    <t>EN6046-12</t>
  </si>
  <si>
    <t>V5338394020400</t>
  </si>
  <si>
    <t>V5338394022000</t>
  </si>
  <si>
    <t>NSA5059E5</t>
  </si>
  <si>
    <t>V5338394022400</t>
  </si>
  <si>
    <t>NSA5378-6</t>
  </si>
  <si>
    <t>NSA5059E6</t>
  </si>
  <si>
    <t>V5338694321400</t>
  </si>
  <si>
    <t>V5338694321200</t>
  </si>
  <si>
    <t>NSA5059E8</t>
  </si>
  <si>
    <t>ASNA0094-6</t>
  </si>
  <si>
    <t>SINGLE SHEAR</t>
  </si>
  <si>
    <t>Orientation</t>
  </si>
  <si>
    <t>LT</t>
  </si>
  <si>
    <t>Configuration</t>
  </si>
  <si>
    <t>"Ti-6Al-4V_ab_Annealed_Bar"</t>
  </si>
  <si>
    <t>"A286-Cres_Bar"</t>
  </si>
  <si>
    <t>"7050_T7451_Plate"</t>
  </si>
  <si>
    <t>"7175_T7351_Plate"</t>
  </si>
  <si>
    <t>"Referenced"</t>
  </si>
  <si>
    <t>"AIMS03-18-010"</t>
  </si>
  <si>
    <t>"AIMS03-02-022"</t>
  </si>
  <si>
    <t>"AIMS03-02-008"</t>
  </si>
  <si>
    <t>Configuration:AFI/thickness:50-200</t>
  </si>
  <si>
    <t>Configuration:AFI/thickness:6-100</t>
  </si>
  <si>
    <t>-</t>
  </si>
  <si>
    <t>""</t>
  </si>
  <si>
    <t>Ti-6Al-4V</t>
  </si>
  <si>
    <t>Cres-A286</t>
  </si>
  <si>
    <t>EXTERNAL DOUBLE SHEAR</t>
  </si>
  <si>
    <t>Al-7050-T7451</t>
  </si>
  <si>
    <t>Al-7175-T7351</t>
  </si>
  <si>
    <t>Rod_FR41_STR4_LHS_Upper</t>
  </si>
  <si>
    <t>/LugResultantForce</t>
  </si>
  <si>
    <t>/LugResultantAngle</t>
  </si>
  <si>
    <t>/LoadingRatio</t>
  </si>
  <si>
    <t>/Width</t>
  </si>
  <si>
    <t>/Length</t>
  </si>
  <si>
    <t>/Thick</t>
  </si>
  <si>
    <t>/ThickUnstudied</t>
  </si>
  <si>
    <t>/PinOffsetX</t>
  </si>
  <si>
    <t>/PinOffsetY</t>
  </si>
  <si>
    <t>/SuperiorAngle</t>
  </si>
  <si>
    <t>/InferiorAngle</t>
  </si>
  <si>
    <t>/ShearType</t>
  </si>
  <si>
    <t>/StructureMaterial</t>
  </si>
  <si>
    <t>Standar Pin</t>
  </si>
  <si>
    <t>/Diameter</t>
  </si>
  <si>
    <t>/Material</t>
  </si>
  <si>
    <t>Standar Bush</t>
  </si>
  <si>
    <t>/BushExternalDiameter</t>
  </si>
  <si>
    <t>/BushMaterial</t>
  </si>
  <si>
    <t>/Orientation_init</t>
  </si>
  <si>
    <t>INTERNAL DOUBLE SHEAR</t>
  </si>
  <si>
    <t xml:space="preserve">Authors: </t>
  </si>
  <si>
    <t>Pablo Arcediano</t>
  </si>
  <si>
    <t>Ángela Blazquez</t>
  </si>
  <si>
    <t>Héctor Dionisio</t>
  </si>
  <si>
    <t>Javier Vela</t>
  </si>
  <si>
    <t>Lucas Bernácer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</si>
</sst>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#,##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14">
    <xf numFmtId="0" fontId="0" fillId="0" borderId="0"/>
    <xf numFmtId="0" fontId="1" fillId="0" borderId="0"/>
    <xf numFmtId="0" fontId="2" fillId="7" borderId="0" applyNumberFormat="0" applyBorder="0" applyAlignment="0" applyProtection="0"/>
    <xf numFmtId="2" fontId="3" fillId="9" borderId="6" applyNumberFormat="0" applyFont="0" applyBorder="0" applyAlignment="0">
      <alignment horizontal="center" vertical="center"/>
    </xf>
    <xf numFmtId="0" fontId="13" fillId="0" borderId="0"/>
    <xf numFmtId="0" fontId="1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1" fontId="14" fillId="10" borderId="5" applyNumberFormat="0" applyBorder="0" applyAlignment="0">
      <alignment horizontal="center" vertical="center"/>
    </xf>
    <xf numFmtId="2" fontId="15" fillId="8" borderId="7">
      <alignment horizontal="center" vertical="center" wrapText="1"/>
    </xf>
  </cellStyleXfs>
  <cellXfs count="8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64" fontId="4" fillId="0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/>
    <xf numFmtId="0" fontId="7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5" fontId="10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horizontal="center" vertical="center" wrapText="1"/>
    </xf>
    <xf numFmtId="4" fontId="0" fillId="0" borderId="0" xfId="0" applyNumberFormat="1" applyFill="1" applyBorder="1"/>
    <xf numFmtId="166" fontId="0" fillId="0" borderId="0" xfId="0" applyNumberFormat="1" applyFill="1" applyBorder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11" borderId="0" xfId="0" applyFill="1"/>
    <xf numFmtId="2" fontId="0" fillId="0" borderId="1" xfId="0" applyNumberFormat="1" applyBorder="1" applyAlignment="1">
      <alignment horizontal="center"/>
    </xf>
    <xf numFmtId="0" fontId="0" fillId="6" borderId="1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7" fillId="6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5" fillId="18" borderId="1" xfId="0" applyFont="1" applyFill="1" applyBorder="1" applyAlignment="1">
      <alignment horizontal="center"/>
    </xf>
    <xf numFmtId="0" fontId="16" fillId="12" borderId="12" xfId="0" applyFont="1" applyFill="1" applyBorder="1"/>
    <xf numFmtId="0" fontId="0" fillId="11" borderId="0" xfId="0" applyFill="1" applyBorder="1" applyAlignment="1">
      <alignment horizontal="center"/>
    </xf>
    <xf numFmtId="0" fontId="0" fillId="0" borderId="11" xfId="0" applyFill="1" applyBorder="1" applyAlignment="1"/>
    <xf numFmtId="0" fontId="4" fillId="17" borderId="1" xfId="0" applyFont="1" applyFill="1" applyBorder="1" applyAlignment="1">
      <alignment horizontal="center" vertical="center" wrapText="1"/>
    </xf>
    <xf numFmtId="164" fontId="4" fillId="17" borderId="1" xfId="0" applyNumberFormat="1" applyFont="1" applyFill="1" applyBorder="1" applyAlignment="1">
      <alignment horizontal="center" vertical="center" wrapText="1"/>
    </xf>
    <xf numFmtId="164" fontId="4" fillId="17" borderId="1" xfId="0" quotePrefix="1" applyNumberFormat="1" applyFont="1" applyFill="1" applyBorder="1" applyAlignment="1">
      <alignment horizontal="center" vertical="center" wrapText="1"/>
    </xf>
    <xf numFmtId="165" fontId="4" fillId="17" borderId="1" xfId="0" applyNumberFormat="1" applyFont="1" applyFill="1" applyBorder="1" applyAlignment="1">
      <alignment horizontal="center" vertical="center" wrapText="1"/>
    </xf>
    <xf numFmtId="164" fontId="5" fillId="17" borderId="1" xfId="0" applyNumberFormat="1" applyFon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left"/>
    </xf>
    <xf numFmtId="0" fontId="16" fillId="12" borderId="2" xfId="0" applyFont="1" applyFill="1" applyBorder="1" applyAlignment="1">
      <alignment horizontal="center"/>
    </xf>
    <xf numFmtId="0" fontId="16" fillId="12" borderId="4" xfId="0" applyFont="1" applyFill="1" applyBorder="1" applyAlignment="1">
      <alignment horizontal="center"/>
    </xf>
    <xf numFmtId="0" fontId="16" fillId="12" borderId="3" xfId="0" applyFont="1" applyFill="1" applyBorder="1" applyAlignment="1">
      <alignment horizontal="center"/>
    </xf>
    <xf numFmtId="0" fontId="16" fillId="15" borderId="2" xfId="0" applyFont="1" applyFill="1" applyBorder="1" applyAlignment="1">
      <alignment horizontal="center"/>
    </xf>
    <xf numFmtId="0" fontId="16" fillId="15" borderId="4" xfId="0" applyFont="1" applyFill="1" applyBorder="1" applyAlignment="1">
      <alignment horizontal="center"/>
    </xf>
    <xf numFmtId="0" fontId="16" fillId="15" borderId="3" xfId="0" applyFont="1" applyFill="1" applyBorder="1" applyAlignment="1">
      <alignment horizontal="center"/>
    </xf>
    <xf numFmtId="0" fontId="16" fillId="13" borderId="2" xfId="0" applyFont="1" applyFill="1" applyBorder="1" applyAlignment="1">
      <alignment horizontal="center"/>
    </xf>
    <xf numFmtId="0" fontId="16" fillId="13" borderId="4" xfId="0" applyFont="1" applyFill="1" applyBorder="1" applyAlignment="1">
      <alignment horizontal="center"/>
    </xf>
    <xf numFmtId="0" fontId="16" fillId="13" borderId="3" xfId="0" applyFont="1" applyFill="1" applyBorder="1" applyAlignment="1">
      <alignment horizontal="center"/>
    </xf>
    <xf numFmtId="0" fontId="17" fillId="6" borderId="8" xfId="0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 wrapText="1"/>
    </xf>
    <xf numFmtId="0" fontId="4" fillId="17" borderId="8" xfId="0" applyFont="1" applyFill="1" applyBorder="1" applyAlignment="1">
      <alignment horizontal="center" vertical="center" wrapText="1"/>
    </xf>
    <xf numFmtId="0" fontId="4" fillId="17" borderId="9" xfId="0" applyFont="1" applyFill="1" applyBorder="1" applyAlignment="1">
      <alignment horizontal="center" vertical="center" wrapText="1"/>
    </xf>
    <xf numFmtId="0" fontId="4" fillId="17" borderId="10" xfId="0" applyFont="1" applyFill="1" applyBorder="1" applyAlignment="1">
      <alignment horizontal="center" vertical="center" wrapText="1"/>
    </xf>
    <xf numFmtId="0" fontId="16" fillId="12" borderId="2" xfId="0" applyFont="1" applyFill="1" applyBorder="1" applyAlignment="1">
      <alignment horizontal="center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6" fillId="12" borderId="3" xfId="0" applyFont="1" applyFill="1" applyBorder="1" applyAlignment="1">
      <alignment horizontal="center" vertical="center" wrapText="1"/>
    </xf>
    <xf numFmtId="0" fontId="6" fillId="17" borderId="1" xfId="0" applyFont="1" applyFill="1" applyBorder="1" applyAlignment="1">
      <alignment horizontal="center" vertical="center" wrapText="1"/>
    </xf>
  </cellXfs>
  <cellStyles count="14">
    <cellStyle name="Bueno" xfId="2" builtinId="26"/>
    <cellStyle name="Datos" xfId="3"/>
    <cellStyle name="Normal" xfId="0" builtinId="0"/>
    <cellStyle name="Normal 2" xfId="1"/>
    <cellStyle name="Normal 2 10" xfId="4"/>
    <cellStyle name="Normal 2 2" xfId="5"/>
    <cellStyle name="Normal 2 2 2" xfId="6"/>
    <cellStyle name="Normal 2_A350XWB_METHODOLOGY_Panels_MATB_Iss1" xfId="7"/>
    <cellStyle name="Normal 3" xfId="8"/>
    <cellStyle name="Normal 4" xfId="9"/>
    <cellStyle name="Normal 6" xfId="10"/>
    <cellStyle name="Porcentual 2" xfId="11"/>
    <cellStyle name="Referencia" xfId="12"/>
    <cellStyle name="Resultados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7</xdr:row>
      <xdr:rowOff>76200</xdr:rowOff>
    </xdr:from>
    <xdr:to>
      <xdr:col>8</xdr:col>
      <xdr:colOff>571500</xdr:colOff>
      <xdr:row>23</xdr:row>
      <xdr:rowOff>1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1409700"/>
          <a:ext cx="6210300" cy="2971801"/>
        </a:xfrm>
        <a:prstGeom prst="rect">
          <a:avLst/>
        </a:prstGeom>
        <a:ln w="38100" cap="sq">
          <a:solidFill>
            <a:schemeClr val="accent1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752474</xdr:colOff>
      <xdr:row>7</xdr:row>
      <xdr:rowOff>57150</xdr:rowOff>
    </xdr:from>
    <xdr:to>
      <xdr:col>16</xdr:col>
      <xdr:colOff>266699</xdr:colOff>
      <xdr:row>16</xdr:row>
      <xdr:rowOff>47625</xdr:rowOff>
    </xdr:to>
    <xdr:sp macro="" textlink="">
      <xdr:nvSpPr>
        <xdr:cNvPr id="3" name="2 CuadroTexto"/>
        <xdr:cNvSpPr txBox="1"/>
      </xdr:nvSpPr>
      <xdr:spPr>
        <a:xfrm>
          <a:off x="6991349" y="1390650"/>
          <a:ext cx="5610225" cy="170497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lugISAMI</a:t>
          </a:r>
          <a:r>
            <a:rPr lang="en-US" sz="1100" b="1" baseline="0"/>
            <a:t> Excel Template </a:t>
          </a:r>
          <a:r>
            <a:rPr lang="en-US" sz="1100" b="1"/>
            <a:t>(ISAMI input file generator)</a:t>
          </a:r>
        </a:p>
        <a:p>
          <a:endParaRPr lang="en-US" sz="1100"/>
        </a:p>
        <a:p>
          <a:r>
            <a:rPr lang="en-US" sz="1100"/>
            <a:t>1. Fill the "Analysis" sheet with all the required information for the lug analysis. Please,</a:t>
          </a:r>
          <a:r>
            <a:rPr lang="en-US" sz="1100" baseline="0"/>
            <a:t> provide values in the proper format and select the options that appear in the deployable lists.</a:t>
          </a:r>
          <a:endParaRPr lang="en-US" sz="1100"/>
        </a:p>
        <a:p>
          <a:endParaRPr lang="en-US" sz="1100" baseline="0"/>
        </a:p>
        <a:p>
          <a:r>
            <a:rPr lang="en-US" sz="1100" baseline="0"/>
            <a:t>2. Add the desired materials in the "Material" sheet inside the specified area. The number of materials has been limited to 15. </a:t>
          </a:r>
        </a:p>
        <a:p>
          <a:endParaRPr lang="en-US" sz="1100" baseline="0"/>
        </a:p>
        <a:p>
          <a:r>
            <a:rPr lang="en-US" sz="1100" baseline="0"/>
            <a:t>3. Please, only write in the specified zones and do not add rows or columns.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  <xdr:twoCellAnchor editAs="oneCell">
    <xdr:from>
      <xdr:col>0</xdr:col>
      <xdr:colOff>666749</xdr:colOff>
      <xdr:row>0</xdr:row>
      <xdr:rowOff>60619</xdr:rowOff>
    </xdr:from>
    <xdr:to>
      <xdr:col>8</xdr:col>
      <xdr:colOff>247649</xdr:colOff>
      <xdr:row>7</xdr:row>
      <xdr:rowOff>161925</xdr:rowOff>
    </xdr:to>
    <xdr:pic>
      <xdr:nvPicPr>
        <xdr:cNvPr id="5" name="Imagen 4" descr="Capgemini Engineering, la nueva marca que reúne su experiencia en  ingeniería e I+D | Noticias | Mercado TI | Computi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49" y="60619"/>
          <a:ext cx="5819775" cy="1434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ALESTIS\FATIGA_Users\Documents%20and%20Settings\US76041446\Desktop\FATIGA\A350XWB-BF_FITTING_MSN001_Iss1.0_Wall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A46840022/Local%20Settings/Temporary%20Internet%20Files/Content.Outlook/Y9J8B3AH/A350_BF_Serrated_Shackle_V-2%201%20(4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STRUCTURA-Z4\03_Stress\USERS\FER\Results\tools\01_RODS_TO_FUS\A350XWB-BF_RODS_FUS_MSN005_Iss1_7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_ISSUE"/>
      <sheetName val="CALCULATION_STATUS"/>
      <sheetName val="Sizing"/>
      <sheetName val="Forces_Inputs"/>
      <sheetName val="ISAMI_INPUT"/>
      <sheetName val="Standards"/>
      <sheetName val="Lug&amp;Pin_Summary"/>
      <sheetName val="Sizing_Summary"/>
      <sheetName val="A350XWB-BF_FITTING_MSN001_Iss1"/>
      <sheetName val="Bush&amp;Pin_Data"/>
      <sheetName val="Properties_Materials"/>
    </sheetNames>
    <sheetDataSet>
      <sheetData sheetId="0" refreshError="1"/>
      <sheetData sheetId="1" refreshError="1"/>
      <sheetData sheetId="2" refreshError="1"/>
      <sheetData sheetId="3" refreshError="1">
        <row r="1">
          <cell r="D1" t="str">
            <v>ULTIMATE LOAD</v>
          </cell>
          <cell r="E1">
            <v>0</v>
          </cell>
          <cell r="G1">
            <v>0</v>
          </cell>
          <cell r="H1">
            <v>0</v>
          </cell>
        </row>
        <row r="2">
          <cell r="D2">
            <v>0</v>
          </cell>
          <cell r="E2">
            <v>0</v>
          </cell>
          <cell r="G2">
            <v>0</v>
          </cell>
          <cell r="H2">
            <v>0</v>
          </cell>
        </row>
        <row r="3">
          <cell r="D3" t="str">
            <v>Force (N)</v>
          </cell>
          <cell r="E3" t="str">
            <v>Load Case</v>
          </cell>
          <cell r="G3" t="str">
            <v>Force (N)</v>
          </cell>
          <cell r="H3" t="str">
            <v>Load Case</v>
          </cell>
          <cell r="I3" t="str">
            <v>Pin Pretension Load [N]</v>
          </cell>
        </row>
        <row r="4">
          <cell r="D4">
            <v>8214.5446595986268</v>
          </cell>
          <cell r="E4" t="str">
            <v>BF_TL0_R___90___CXFB014015_3000022_3_SECD_GRD</v>
          </cell>
          <cell r="G4">
            <v>-7431.3154723674998</v>
          </cell>
          <cell r="H4" t="str">
            <v>BF_TL0_R_P_90___CMVS043001_3029212_3_SDHD_F10</v>
          </cell>
          <cell r="I4">
            <v>5599.33</v>
          </cell>
        </row>
        <row r="5">
          <cell r="D5">
            <v>8126.7845730007939</v>
          </cell>
          <cell r="E5" t="str">
            <v>BF_TL0_R___90___CXFB014015_3000022_3_SECD_GRD</v>
          </cell>
          <cell r="G5">
            <v>-6522.8062768887694</v>
          </cell>
          <cell r="H5" t="str">
            <v>BF_TL0_R___90___CGVB00106F_3028212_3_SDHD_F10</v>
          </cell>
          <cell r="I5">
            <v>5599.33</v>
          </cell>
        </row>
        <row r="6">
          <cell r="D6">
            <v>10685.381879204697</v>
          </cell>
          <cell r="E6" t="str">
            <v>BF_TL0_R___90___CXFB014015_3000022_3_SECD_GRD</v>
          </cell>
          <cell r="G6">
            <v>-10952.184473744603</v>
          </cell>
          <cell r="H6" t="str">
            <v>BF_TL0_U_P_90___CMVA030003_308200_3_SDHD_F10</v>
          </cell>
          <cell r="I6">
            <v>5599.33</v>
          </cell>
        </row>
        <row r="7">
          <cell r="D7">
            <v>9966.7332247422419</v>
          </cell>
          <cell r="E7" t="str">
            <v>BF_TL0_R___90___CXFB014015_3000022_3_SECD_GRD</v>
          </cell>
          <cell r="G7">
            <v>-9456.0278912565682</v>
          </cell>
          <cell r="H7" t="str">
            <v>BF_TL0_U_P_90___CMVA030003_308200_3_SDHD_F10</v>
          </cell>
          <cell r="I7">
            <v>5599.33</v>
          </cell>
        </row>
        <row r="8">
          <cell r="D8">
            <v>11339.662194941193</v>
          </cell>
          <cell r="E8" t="str">
            <v>BF_TL0_R_P_90___CGVB7DD0F5_3028111_3_SDHD_F10</v>
          </cell>
          <cell r="G8">
            <v>-7956.8655767687815</v>
          </cell>
          <cell r="H8" t="str">
            <v>BF_TL0_R_P_90___CMVS043001_3029212_3_SDHD_F10</v>
          </cell>
          <cell r="I8">
            <v>10951.44</v>
          </cell>
        </row>
        <row r="9">
          <cell r="D9">
            <v>11339.662194941193</v>
          </cell>
          <cell r="E9" t="str">
            <v>BF_TL0_R_P_90___CGVB7DD0F5_3028111_3_SDHD_F10</v>
          </cell>
          <cell r="G9">
            <v>-7956.8655767687815</v>
          </cell>
          <cell r="H9" t="str">
            <v>BF_TL0_R_P_90___CMVS043001_3029212_3_SDHD_F10</v>
          </cell>
          <cell r="I9">
            <v>10951.44</v>
          </cell>
        </row>
        <row r="10">
          <cell r="D10">
            <v>11166.65026801957</v>
          </cell>
          <cell r="E10" t="str">
            <v>BF_TL0_R___90___CG1N04702B_3202522_3_SDHD_TOF</v>
          </cell>
          <cell r="G10">
            <v>-8172.9055025367052</v>
          </cell>
          <cell r="H10" t="str">
            <v>BF_TL0_L_P_90___CMVA030003_3082311_3_SDHD_F10</v>
          </cell>
          <cell r="I10">
            <v>10951.44</v>
          </cell>
        </row>
        <row r="11">
          <cell r="D11">
            <v>11166.65026801957</v>
          </cell>
          <cell r="E11" t="str">
            <v>BF_TL0_R___90___CG1N04702B_3202522_3_SDHD_TOF</v>
          </cell>
          <cell r="G11">
            <v>-8172.9055025367052</v>
          </cell>
          <cell r="H11" t="str">
            <v>BF_TL0_L_P_90___CMVA030003_3082311_3_SDHD_F10</v>
          </cell>
          <cell r="I11">
            <v>10951.44</v>
          </cell>
        </row>
        <row r="12">
          <cell r="D12">
            <v>10511.826792643911</v>
          </cell>
          <cell r="E12" t="str">
            <v>BF_TL0_L_P_90___CGTL05912F_3011311_3_SECD_F41</v>
          </cell>
          <cell r="G12">
            <v>-28802.077919186075</v>
          </cell>
          <cell r="H12" t="str">
            <v>BF_TL0_U_P_90___CMVS860001_301400_3_SECD_F41</v>
          </cell>
          <cell r="I12">
            <v>13090.05</v>
          </cell>
        </row>
        <row r="13">
          <cell r="D13">
            <v>10093.971023544776</v>
          </cell>
          <cell r="E13" t="str">
            <v>BF_TL0_U___90___CMVA079001_301900_3_SDHD_TOF</v>
          </cell>
          <cell r="G13">
            <v>-30008.701324855101</v>
          </cell>
          <cell r="H13" t="str">
            <v>BF_TL0_U_P_90___CMVS860001_301400_3_SECD_F41</v>
          </cell>
          <cell r="I13">
            <v>13090.05</v>
          </cell>
        </row>
        <row r="14">
          <cell r="D14">
            <v>22451.436007576642</v>
          </cell>
          <cell r="E14" t="str">
            <v>BF_TL0_U_P_90___CMWA016006_305700_3_SDHD_F10</v>
          </cell>
          <cell r="G14">
            <v>-7860.7263378627867</v>
          </cell>
          <cell r="H14" t="str">
            <v>BF_TL0_L___90___CMVA07D001_3024412_3_SECD_F30</v>
          </cell>
          <cell r="I14">
            <v>10951.44</v>
          </cell>
        </row>
        <row r="15">
          <cell r="D15">
            <v>22451.436007576642</v>
          </cell>
          <cell r="E15" t="str">
            <v>BF_TL0_U_P_90___CMWA016006_305700_3_SDHD_F10</v>
          </cell>
          <cell r="G15">
            <v>-7860.7263378627867</v>
          </cell>
          <cell r="H15" t="str">
            <v>BF_TL0_L___90___CMVA07D001_3024412_3_SECD_F30</v>
          </cell>
          <cell r="I15">
            <v>10951.44</v>
          </cell>
        </row>
        <row r="16">
          <cell r="D16">
            <v>22384.904289449685</v>
          </cell>
          <cell r="E16" t="str">
            <v>BF_TL0_U_P_90___CMWA016006_305700_3_SDHD_F10</v>
          </cell>
          <cell r="G16">
            <v>-8112.8447681592734</v>
          </cell>
          <cell r="H16" t="str">
            <v>BF_TL0_R___90___CXFL046001_3000023_3_SECD_GRD</v>
          </cell>
          <cell r="I16">
            <v>10951.44</v>
          </cell>
        </row>
        <row r="17">
          <cell r="D17">
            <v>22384.904289449685</v>
          </cell>
          <cell r="E17" t="str">
            <v>BF_TL0_U_P_90___CMWA016006_305700_3_SDHD_F10</v>
          </cell>
          <cell r="G17">
            <v>-8112.8447681592734</v>
          </cell>
          <cell r="H17" t="str">
            <v>BF_TL0_R___90___CXFL046001_3000023_3_SECD_GRD</v>
          </cell>
          <cell r="I17">
            <v>10951.44</v>
          </cell>
        </row>
        <row r="18">
          <cell r="D18">
            <v>4358.2486327783645</v>
          </cell>
          <cell r="E18" t="str">
            <v>BF_TL0_L___90___CMVA090001_3031413_3_SDHD_TOF</v>
          </cell>
          <cell r="G18">
            <v>-8443.9787626207781</v>
          </cell>
          <cell r="H18" t="str">
            <v>BF_TL0_U_P_90___CMVA030003_308200_3_SECD_F41</v>
          </cell>
          <cell r="I18">
            <v>10236.450000000001</v>
          </cell>
        </row>
        <row r="19">
          <cell r="D19">
            <v>4358.2486327783645</v>
          </cell>
          <cell r="E19" t="str">
            <v>BF_TL0_L___90___CMVA090001_3031413_3_SDHD_TOF</v>
          </cell>
          <cell r="G19">
            <v>-8443.9787626207781</v>
          </cell>
          <cell r="H19" t="str">
            <v>BF_TL0_U_P_90___CMVA030003_308200_3_SECD_F41</v>
          </cell>
          <cell r="I19">
            <v>10236.450000000001</v>
          </cell>
        </row>
        <row r="20">
          <cell r="D20">
            <v>4012.9137887897487</v>
          </cell>
          <cell r="E20" t="str">
            <v>BF_TL0_L___90___CMVA090001_3031413_3_SDHD_TOF</v>
          </cell>
          <cell r="G20">
            <v>-8253.3423201861788</v>
          </cell>
          <cell r="H20" t="str">
            <v>BF_TL0_U_P_90___CMVA030003_308200_3_SECD_F41</v>
          </cell>
          <cell r="I20">
            <v>10236.450000000001</v>
          </cell>
        </row>
        <row r="21">
          <cell r="D21">
            <v>4012.9137887897487</v>
          </cell>
          <cell r="E21" t="str">
            <v>BF_TL0_L___90___CMVA090001_3031413_3_SDHD_TOF</v>
          </cell>
          <cell r="G21">
            <v>-8253.3423201861788</v>
          </cell>
          <cell r="H21" t="str">
            <v>BF_TL0_U_P_90___CMVA030003_308200_3_SECD_F41</v>
          </cell>
          <cell r="I21">
            <v>10236.450000000001</v>
          </cell>
        </row>
        <row r="22">
          <cell r="D22">
            <v>11622.408935677944</v>
          </cell>
          <cell r="E22" t="str">
            <v>BF_TL0_R___90___CXFL045001_3000022_3_SDHD_GRD</v>
          </cell>
          <cell r="G22">
            <v>-40139.323606944221</v>
          </cell>
          <cell r="H22" t="str">
            <v>BF_TL0_U_P_90___CMVA030003_308200_3_SECD_F41</v>
          </cell>
          <cell r="I22">
            <v>10951.44</v>
          </cell>
        </row>
        <row r="23">
          <cell r="D23">
            <v>11440.725845635772</v>
          </cell>
          <cell r="E23" t="str">
            <v>BF_TL0_R___90___CXFL046001_3000022_3_SDHD_GRD</v>
          </cell>
          <cell r="G23">
            <v>-39879.963722166598</v>
          </cell>
          <cell r="H23" t="str">
            <v>BF_TL0_U_P_90___CMVA030003_308200_3_SECD_F41</v>
          </cell>
          <cell r="I23">
            <v>10951.44</v>
          </cell>
        </row>
        <row r="24">
          <cell r="D24">
            <v>32410.141167014644</v>
          </cell>
          <cell r="E24" t="str">
            <v>BF_TL0_U_P_90___CMLU0EO001_321050_3_SECD_F41</v>
          </cell>
          <cell r="G24">
            <v>-69288.734565347113</v>
          </cell>
          <cell r="H24" t="str">
            <v>BF_TL0_U_P_90___CMVB00B007_308100_3_SECD_F41</v>
          </cell>
          <cell r="I24">
            <v>16839.509999999998</v>
          </cell>
        </row>
        <row r="25">
          <cell r="D25">
            <v>69288.734565347127</v>
          </cell>
          <cell r="E25" t="str">
            <v>BF_TL0_U_P_90___CMVB00B007_308100_3_SECD_F41</v>
          </cell>
          <cell r="G25">
            <v>-29202.89272132624</v>
          </cell>
          <cell r="H25" t="str">
            <v>BF_TL0_L___90___CMVA044008_3084412_3_SDHD_TOF</v>
          </cell>
          <cell r="I25">
            <v>16839.509999999998</v>
          </cell>
        </row>
        <row r="26">
          <cell r="D26">
            <v>30932.032893008251</v>
          </cell>
          <cell r="E26" t="str">
            <v>BF_TL0_U_P_90___CMLU0EO001_321000_3_SECD_F41</v>
          </cell>
          <cell r="G26">
            <v>-68403.905117003931</v>
          </cell>
          <cell r="H26" t="str">
            <v>BF_TL0_U_P_90___CMVB00B007_308100_3_SECD_F41</v>
          </cell>
          <cell r="I26">
            <v>16839.509999999998</v>
          </cell>
        </row>
        <row r="27">
          <cell r="D27">
            <v>30932.032893008251</v>
          </cell>
          <cell r="E27" t="str">
            <v>BF_TL0_U_P_90___CMLU0EO001_321000_3_SECD_F41</v>
          </cell>
          <cell r="G27">
            <v>-68403.905117003931</v>
          </cell>
          <cell r="H27" t="str">
            <v>BF_TL0_U_P_90___CMVB00B007_308100_3_SECD_F41</v>
          </cell>
          <cell r="I27">
            <v>16839.509999999998</v>
          </cell>
        </row>
        <row r="28">
          <cell r="D28">
            <v>21325.096843644173</v>
          </cell>
          <cell r="E28" t="str">
            <v>BF_TL0_U___90___CXFL045001_3_SDHD_GRD</v>
          </cell>
          <cell r="G28">
            <v>-19571.679389886376</v>
          </cell>
          <cell r="H28" t="str">
            <v>BF_TL0_U_P_90___CMVB00B007_308100_3_SDHD_F10</v>
          </cell>
          <cell r="I28">
            <v>10951.44</v>
          </cell>
        </row>
        <row r="29">
          <cell r="D29">
            <v>21325.096843644173</v>
          </cell>
          <cell r="E29" t="str">
            <v>BF_TL0_U___90___CXFL045001_3_SDHD_GRD</v>
          </cell>
          <cell r="G29">
            <v>-19571.679389886376</v>
          </cell>
          <cell r="H29" t="str">
            <v>BF_TL0_U_P_90___CMVB00B007_308100_3_SDHD_F10</v>
          </cell>
          <cell r="I29">
            <v>10951.44</v>
          </cell>
        </row>
        <row r="30">
          <cell r="D30">
            <v>21211.658789123878</v>
          </cell>
          <cell r="E30" t="str">
            <v>BF_TL0_U___90___CXFL046001_3_SDHD_GRD</v>
          </cell>
          <cell r="G30">
            <v>-19641.400804605757</v>
          </cell>
          <cell r="H30" t="str">
            <v>BF_TL0_U_P_90___CMVB00B007_308100_3_SDHD_F10</v>
          </cell>
          <cell r="I30">
            <v>10951.44</v>
          </cell>
        </row>
        <row r="31">
          <cell r="D31">
            <v>21211.658789123878</v>
          </cell>
          <cell r="E31" t="str">
            <v>BF_TL0_U___90___CXFL046001_3_SDHD_GRD</v>
          </cell>
          <cell r="G31">
            <v>-19641.400804605757</v>
          </cell>
          <cell r="H31" t="str">
            <v>BF_TL0_U_P_90___CMVB00B007_308100_3_SDHD_F10</v>
          </cell>
          <cell r="I31">
            <v>10951.44</v>
          </cell>
        </row>
        <row r="32">
          <cell r="D32">
            <v>25326.172721237366</v>
          </cell>
          <cell r="E32" t="str">
            <v>BF_TL0_R___90___CXLF131001_3000024_3_SDHD_15M</v>
          </cell>
          <cell r="G32">
            <v>-21867.890351967493</v>
          </cell>
          <cell r="H32" t="str">
            <v>BF_TL0_L_P_90___CMVB00B007_3081415_3_SDHD_F10</v>
          </cell>
          <cell r="I32">
            <v>10951.44</v>
          </cell>
        </row>
        <row r="33">
          <cell r="D33">
            <v>25326.172721237366</v>
          </cell>
          <cell r="E33" t="str">
            <v>BF_TL0_R___90___CXLF131001_3000024_3_SDHD_15M</v>
          </cell>
          <cell r="G33">
            <v>-21867.890351967493</v>
          </cell>
          <cell r="H33" t="str">
            <v>BF_TL0_L_P_90___CMVB00B007_3081415_3_SDHD_F10</v>
          </cell>
          <cell r="I33">
            <v>10951.44</v>
          </cell>
        </row>
        <row r="34">
          <cell r="D34">
            <v>25789.735416852011</v>
          </cell>
          <cell r="E34" t="str">
            <v>BF_TL0_R___90___CXLF131001_3000024_3_SDHD_15M</v>
          </cell>
          <cell r="G34">
            <v>-22100.369608543155</v>
          </cell>
          <cell r="H34" t="str">
            <v>BF_TL0_L_P_90___CMVB00B007_3081415_3_SDHD_F10</v>
          </cell>
          <cell r="I34">
            <v>10951.44</v>
          </cell>
        </row>
        <row r="35">
          <cell r="D35">
            <v>25789.735416852011</v>
          </cell>
          <cell r="E35" t="str">
            <v>BF_TL0_R___90___CXLF131001_3000024_3_SDHD_15M</v>
          </cell>
          <cell r="G35">
            <v>-22100.369608543155</v>
          </cell>
          <cell r="H35" t="str">
            <v>BF_TL0_L_P_90___CMVB00B007_3081415_3_SDHD_F10</v>
          </cell>
          <cell r="I35">
            <v>10951.44</v>
          </cell>
        </row>
        <row r="36">
          <cell r="D36">
            <v>37053.474712418792</v>
          </cell>
          <cell r="E36" t="str">
            <v>BF_TL0_U_P_90___CMWA016006_305700_3_SDHD_F10</v>
          </cell>
          <cell r="G36">
            <v>-19358.573353640611</v>
          </cell>
          <cell r="H36" t="str">
            <v>BF_TL0_L___90___CMVA036006_3060415_3_SECD_F30</v>
          </cell>
          <cell r="I36">
            <v>13090.05</v>
          </cell>
        </row>
        <row r="37">
          <cell r="D37">
            <v>37053.474712418792</v>
          </cell>
          <cell r="E37" t="str">
            <v>BF_TL0_U_P_90___CMWA016006_305700_3_SDHD_F10</v>
          </cell>
          <cell r="G37">
            <v>-19358.573353640611</v>
          </cell>
          <cell r="H37" t="str">
            <v>BF_TL0_L___90___CMVA036006_3060415_3_SECD_F30</v>
          </cell>
          <cell r="I37">
            <v>13090.05</v>
          </cell>
        </row>
        <row r="38">
          <cell r="D38">
            <v>28903.236486326889</v>
          </cell>
          <cell r="E38" t="str">
            <v>BF_TL0_U_P_90___CMWA016006_305700_3_SDHD_F10</v>
          </cell>
          <cell r="G38">
            <v>-20453.007189057618</v>
          </cell>
          <cell r="H38" t="str">
            <v>BF_TL0_L___90___CMVA036006_3060415_3_SECD_F30</v>
          </cell>
          <cell r="I38">
            <v>13090.05</v>
          </cell>
        </row>
        <row r="39">
          <cell r="D39">
            <v>28903.236486326889</v>
          </cell>
          <cell r="E39" t="str">
            <v>BF_TL0_U_P_90___CMWA016006_305700_3_SDHD_F10</v>
          </cell>
          <cell r="G39">
            <v>-20453.007189057618</v>
          </cell>
          <cell r="H39" t="str">
            <v>BF_TL0_L___90___CMVA036006_3060415_3_SECD_F30</v>
          </cell>
          <cell r="I39">
            <v>13090.05</v>
          </cell>
        </row>
        <row r="40">
          <cell r="D40">
            <v>8604.2535019883035</v>
          </cell>
          <cell r="E40" t="str">
            <v>BF_TL0_R_P_90___CMVA030003_3082414_3_SDHD_F10</v>
          </cell>
          <cell r="G40">
            <v>-10111.420560713919</v>
          </cell>
          <cell r="H40" t="str">
            <v>BF_TL0_R___90___CGVB7DD0F5_3028024_3_SECD_F30</v>
          </cell>
          <cell r="I40">
            <v>5599.33</v>
          </cell>
        </row>
        <row r="41">
          <cell r="D41">
            <v>8480.7128286788356</v>
          </cell>
          <cell r="E41" t="str">
            <v>BF_TL0_R_P_90___CMVA030003_3082414_3_SDHD_F10</v>
          </cell>
          <cell r="G41">
            <v>-8660.4142859171679</v>
          </cell>
          <cell r="H41" t="str">
            <v>BF_TL0_R___90___CGVB7DD0F5_3028024_3_SECD_F30</v>
          </cell>
          <cell r="I41">
            <v>5599.33</v>
          </cell>
        </row>
        <row r="42">
          <cell r="D42">
            <v>21983.742141239956</v>
          </cell>
          <cell r="E42" t="str">
            <v>BF_TL0_U_P_90___CMVB00B007_308100</v>
          </cell>
          <cell r="G42">
            <v>-10488.740140021382</v>
          </cell>
          <cell r="H42" t="str">
            <v>BF_TL0_R___90___CGWB02E023_3028024_3_SECD_F30</v>
          </cell>
          <cell r="I42">
            <v>10236.450000000001</v>
          </cell>
        </row>
        <row r="43">
          <cell r="D43">
            <v>21478.905357581159</v>
          </cell>
          <cell r="E43" t="str">
            <v>BF_TL0_U_P_90___CMVB00B007_308100</v>
          </cell>
          <cell r="G43">
            <v>-11627.739051211631</v>
          </cell>
          <cell r="H43" t="str">
            <v>BF_TL0_R___90___CGWB02E023_3028024_3_SECD_F30</v>
          </cell>
          <cell r="I43">
            <v>10236.450000000001</v>
          </cell>
        </row>
        <row r="44">
          <cell r="D44">
            <v>15227.735200337991</v>
          </cell>
          <cell r="E44" t="str">
            <v>BF_TL0_U___90___CXLF131001_3_SDHD_15M</v>
          </cell>
          <cell r="G44">
            <v>-13473.192661324603</v>
          </cell>
          <cell r="H44" t="str">
            <v>BF_TL0_R___90___CGWB02E023_3028024_3_SECD_F30</v>
          </cell>
          <cell r="I44">
            <v>5599.33</v>
          </cell>
        </row>
        <row r="45">
          <cell r="D45">
            <v>16099.865819097071</v>
          </cell>
          <cell r="E45" t="str">
            <v>BF_TL0_U___90___CXLF131001_3_SDHD_15M</v>
          </cell>
          <cell r="G45">
            <v>-13734.911942278241</v>
          </cell>
          <cell r="H45" t="str">
            <v>BF_TL0_R___90___CGWB02E023_3028024_3_SECD_F30</v>
          </cell>
          <cell r="I45">
            <v>5599.33</v>
          </cell>
        </row>
        <row r="46">
          <cell r="D46">
            <v>0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D47">
            <v>0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D48">
            <v>0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D49">
            <v>0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D50">
            <v>0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D51">
            <v>0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D52">
            <v>0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D53">
            <v>0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D54">
            <v>0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D55">
            <v>0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D56">
            <v>0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D57">
            <v>0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D58">
            <v>0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D77">
            <v>0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D78">
            <v>0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D79">
            <v>0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D81">
            <v>0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D82">
            <v>0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D84">
            <v>0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D85">
            <v>0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D86">
            <v>0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D87">
            <v>0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D88">
            <v>0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D89">
            <v>0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D90">
            <v>0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D91">
            <v>0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D92">
            <v>0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D93">
            <v>0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D94">
            <v>0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D95">
            <v>0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D96">
            <v>0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D97">
            <v>0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D98">
            <v>0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D99">
            <v>0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D100">
            <v>0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>
            <v>0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D102">
            <v>0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D103">
            <v>0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D104">
            <v>0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D105">
            <v>0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D106">
            <v>0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D107">
            <v>0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D108">
            <v>0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D109">
            <v>0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D110">
            <v>0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D111">
            <v>0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D112">
            <v>0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D113">
            <v>0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D114">
            <v>0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</row>
      </sheetData>
      <sheetData sheetId="4" refreshError="1">
        <row r="5">
          <cell r="C5" t="str">
            <v>7175_T7351_Plate_Preliminary</v>
          </cell>
          <cell r="D5" t="str">
            <v>7050_T7451_Plate_Preliminary</v>
          </cell>
        </row>
        <row r="14">
          <cell r="C14">
            <v>18</v>
          </cell>
        </row>
        <row r="19">
          <cell r="C19" t="str">
            <v>Ti 6Al 4V_Beta Annealed_Plate_Preliminary</v>
          </cell>
        </row>
        <row r="28">
          <cell r="C28" t="str">
            <v>17-4PH_H1025_Sheet_Preliminary</v>
          </cell>
          <cell r="D28" t="str">
            <v>17-4PH_H1025_Sheet_Preliminary</v>
          </cell>
        </row>
      </sheetData>
      <sheetData sheetId="5" refreshError="1">
        <row r="1">
          <cell r="H1">
            <v>0</v>
          </cell>
        </row>
        <row r="3">
          <cell r="H3" t="str">
            <v>Pin Standard</v>
          </cell>
          <cell r="I3" t="str">
            <v/>
          </cell>
          <cell r="J3" t="str">
            <v/>
          </cell>
          <cell r="K3" t="str">
            <v>Material</v>
          </cell>
          <cell r="L3" t="str">
            <v/>
          </cell>
          <cell r="M3" t="str">
            <v/>
          </cell>
          <cell r="N3" t="str">
            <v/>
          </cell>
        </row>
        <row r="4">
          <cell r="H4" t="str">
            <v>ABS0114-3</v>
          </cell>
          <cell r="I4">
            <v>0.1885</v>
          </cell>
          <cell r="J4">
            <v>4.7878999999999996</v>
          </cell>
          <cell r="K4" t="str">
            <v>Ti-6Al-4V 80ºC</v>
          </cell>
          <cell r="L4">
            <v>865.6</v>
          </cell>
          <cell r="M4">
            <v>784.2</v>
          </cell>
          <cell r="N4">
            <v>520.5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H5" t="str">
            <v>ABS0114-4</v>
          </cell>
          <cell r="I5">
            <v>0.2485</v>
          </cell>
          <cell r="J5">
            <v>6.35</v>
          </cell>
          <cell r="K5" t="str">
            <v>Ti-6Al-4V 80ºC</v>
          </cell>
          <cell r="L5">
            <v>865.6</v>
          </cell>
          <cell r="M5">
            <v>784.2</v>
          </cell>
          <cell r="N5">
            <v>520.5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H6" t="str">
            <v>ABS0114-5</v>
          </cell>
          <cell r="I6">
            <v>0.311</v>
          </cell>
          <cell r="J6">
            <v>7.9</v>
          </cell>
          <cell r="K6" t="str">
            <v>Ti-6Al-4V 80ºC</v>
          </cell>
          <cell r="L6">
            <v>865.6</v>
          </cell>
          <cell r="M6">
            <v>784.2</v>
          </cell>
          <cell r="N6">
            <v>520.5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H7" t="str">
            <v>ABS0114-6</v>
          </cell>
          <cell r="I7">
            <v>0.3735</v>
          </cell>
          <cell r="J7">
            <v>9.52</v>
          </cell>
          <cell r="K7" t="str">
            <v>Ti-6Al-4V 80ºC</v>
          </cell>
          <cell r="L7">
            <v>865.6</v>
          </cell>
          <cell r="M7">
            <v>784.2</v>
          </cell>
          <cell r="N7">
            <v>520.5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H8" t="str">
            <v>ABS0114-7</v>
          </cell>
          <cell r="I8">
            <v>0.436</v>
          </cell>
          <cell r="J8">
            <v>11.074399999999999</v>
          </cell>
          <cell r="K8" t="str">
            <v>Ti-6Al-4V 80ºC</v>
          </cell>
          <cell r="L8">
            <v>865.6</v>
          </cell>
          <cell r="M8">
            <v>784.2</v>
          </cell>
          <cell r="N8">
            <v>520.5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H9" t="str">
            <v>ABS0114-8</v>
          </cell>
          <cell r="I9">
            <v>0.4985</v>
          </cell>
          <cell r="J9">
            <v>12.661899999999999</v>
          </cell>
          <cell r="K9" t="str">
            <v>Ti-6Al-4V 80ºC</v>
          </cell>
          <cell r="L9">
            <v>865.6</v>
          </cell>
          <cell r="M9">
            <v>784.2</v>
          </cell>
          <cell r="N9">
            <v>520.5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H10" t="str">
            <v>ABS0114-9</v>
          </cell>
          <cell r="I10">
            <v>0.5605</v>
          </cell>
          <cell r="J10">
            <v>14.236699999999999</v>
          </cell>
          <cell r="K10" t="str">
            <v>Ti-6Al-4V 80ºC</v>
          </cell>
          <cell r="L10">
            <v>865.6</v>
          </cell>
          <cell r="M10">
            <v>784.2</v>
          </cell>
          <cell r="N10">
            <v>520.5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15.824199999999999</v>
          </cell>
          <cell r="K11" t="str">
            <v>Ti-6Al-4V 80ºC</v>
          </cell>
          <cell r="L11">
            <v>865.6</v>
          </cell>
          <cell r="M11">
            <v>784.2</v>
          </cell>
          <cell r="N11">
            <v>520.5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18.999199999999998</v>
          </cell>
          <cell r="K12" t="str">
            <v>Ti-6Al-4V 80ºC</v>
          </cell>
          <cell r="L12">
            <v>865.6</v>
          </cell>
          <cell r="M12">
            <v>784.2</v>
          </cell>
          <cell r="N12">
            <v>520.5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-MATB"/>
      <sheetName val="01_Introduction"/>
      <sheetName val="02_HardwareInfo"/>
      <sheetName val="03_MatProps"/>
      <sheetName val="04_Sizing"/>
      <sheetName val="05_Loads"/>
      <sheetName val="06_Strength"/>
      <sheetName val="07_IRB"/>
      <sheetName val="08_ColumnBuckling"/>
      <sheetName val="09_Attachement"/>
      <sheetName val="10_Pin&amp;Lug"/>
    </sheetNames>
    <sheetDataSet>
      <sheetData sheetId="0" refreshError="1"/>
      <sheetData sheetId="1" refreshError="1"/>
      <sheetData sheetId="2">
        <row r="3">
          <cell r="B3" t="str">
            <v>Fastener Standard</v>
          </cell>
          <cell r="C3" t="str">
            <v>DFast [mm]</v>
          </cell>
          <cell r="D3" t="str">
            <v>PTen_All [N]</v>
          </cell>
          <cell r="E3" t="str">
            <v>Cnom [mdaN]</v>
          </cell>
          <cell r="F3" t="str">
            <v>PSS_All [N]</v>
          </cell>
          <cell r="H3" t="str">
            <v>Pin Standard</v>
          </cell>
          <cell r="I3" t="str">
            <v>DPin [In]</v>
          </cell>
          <cell r="J3" t="str">
            <v>DPin [mm]</v>
          </cell>
          <cell r="K3" t="str">
            <v>Material</v>
          </cell>
          <cell r="L3" t="str">
            <v>Ftu [N/mm2]</v>
          </cell>
          <cell r="M3" t="str">
            <v>Fty [N/mm2]</v>
          </cell>
          <cell r="N3" t="str">
            <v>Fsu [N/mm2]</v>
          </cell>
          <cell r="O3" t="str">
            <v>Bushing Standard</v>
          </cell>
          <cell r="P3" t="str">
            <v>DIn [in]</v>
          </cell>
          <cell r="Q3" t="str">
            <v>DIn [mm]</v>
          </cell>
          <cell r="R3" t="str">
            <v>DOut [in]</v>
          </cell>
          <cell r="S3" t="str">
            <v>DOut [mm]</v>
          </cell>
          <cell r="T3" t="str">
            <v>tBush [mm]</v>
          </cell>
          <cell r="U3" t="str">
            <v>tFl [in]</v>
          </cell>
          <cell r="V3" t="str">
            <v>tFl [mm]</v>
          </cell>
          <cell r="W3" t="str">
            <v>Bearing Standard</v>
          </cell>
          <cell r="X3" t="str">
            <v>Inn d [mm]</v>
          </cell>
          <cell r="Y3" t="str">
            <v>Out D [mm]</v>
          </cell>
          <cell r="Z3" t="str">
            <v>B [mm]</v>
          </cell>
          <cell r="AA3" t="str">
            <v>C [mm]</v>
          </cell>
        </row>
        <row r="4">
          <cell r="B4" t="str">
            <v>EN6115V2</v>
          </cell>
          <cell r="C4">
            <v>4.0999999999999996</v>
          </cell>
          <cell r="D4">
            <v>9660</v>
          </cell>
          <cell r="F4">
            <v>8880</v>
          </cell>
          <cell r="H4" t="str">
            <v>ABS0114-3</v>
          </cell>
          <cell r="I4">
            <v>0.1885</v>
          </cell>
          <cell r="J4">
            <v>4.8259999999999996</v>
          </cell>
          <cell r="K4" t="str">
            <v>Ti-6Al-4V</v>
          </cell>
          <cell r="L4">
            <v>1100</v>
          </cell>
          <cell r="M4">
            <v>1034</v>
          </cell>
          <cell r="N4">
            <v>655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B5" t="str">
            <v>EN6115V3</v>
          </cell>
          <cell r="C5">
            <v>4.8</v>
          </cell>
          <cell r="D5">
            <v>14150</v>
          </cell>
          <cell r="E5">
            <v>0.33</v>
          </cell>
          <cell r="F5">
            <v>11950</v>
          </cell>
          <cell r="H5" t="str">
            <v>ABS0114-4</v>
          </cell>
          <cell r="I5">
            <v>0.2485</v>
          </cell>
          <cell r="J5">
            <v>6.35</v>
          </cell>
          <cell r="K5" t="str">
            <v>Ti-6Al-4V</v>
          </cell>
          <cell r="L5">
            <v>1100</v>
          </cell>
          <cell r="M5">
            <v>1034</v>
          </cell>
          <cell r="N5">
            <v>655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B6" t="str">
            <v>EN6115V4</v>
          </cell>
          <cell r="C6">
            <v>6.4</v>
          </cell>
          <cell r="D6">
            <v>25900</v>
          </cell>
          <cell r="E6">
            <v>0.73</v>
          </cell>
          <cell r="F6">
            <v>20665</v>
          </cell>
          <cell r="H6" t="str">
            <v>ABS0114-5</v>
          </cell>
          <cell r="I6">
            <v>0.311</v>
          </cell>
          <cell r="J6">
            <v>7.9375</v>
          </cell>
          <cell r="K6" t="str">
            <v>Ti-6Al-4V</v>
          </cell>
          <cell r="L6">
            <v>1100</v>
          </cell>
          <cell r="M6">
            <v>1034</v>
          </cell>
          <cell r="N6">
            <v>655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B7" t="str">
            <v>EN6115V5</v>
          </cell>
          <cell r="C7">
            <v>7.9</v>
          </cell>
          <cell r="D7">
            <v>40900</v>
          </cell>
          <cell r="E7">
            <v>1.22</v>
          </cell>
          <cell r="F7">
            <v>32440</v>
          </cell>
          <cell r="H7" t="str">
            <v>ABS0114-6</v>
          </cell>
          <cell r="I7">
            <v>0.3735</v>
          </cell>
          <cell r="J7">
            <v>9.5250000000000004</v>
          </cell>
          <cell r="K7" t="str">
            <v>Ti-6Al-4V</v>
          </cell>
          <cell r="L7">
            <v>1100</v>
          </cell>
          <cell r="M7">
            <v>1034</v>
          </cell>
          <cell r="N7">
            <v>655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B8" t="str">
            <v>EN6115V6</v>
          </cell>
          <cell r="C8">
            <v>9.5</v>
          </cell>
          <cell r="D8">
            <v>62250</v>
          </cell>
          <cell r="E8">
            <v>2.46</v>
          </cell>
          <cell r="F8">
            <v>46660</v>
          </cell>
          <cell r="H8" t="str">
            <v>ABS0114-7</v>
          </cell>
          <cell r="I8">
            <v>0.436</v>
          </cell>
          <cell r="J8">
            <v>11.112500000000001</v>
          </cell>
          <cell r="K8" t="str">
            <v>Ti-6Al-4V</v>
          </cell>
          <cell r="L8">
            <v>1100</v>
          </cell>
          <cell r="M8">
            <v>1034</v>
          </cell>
          <cell r="N8">
            <v>655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B9" t="str">
            <v>EN6115V7</v>
          </cell>
          <cell r="C9">
            <v>11.1</v>
          </cell>
          <cell r="D9">
            <v>78600</v>
          </cell>
          <cell r="E9">
            <v>3.54</v>
          </cell>
          <cell r="F9">
            <v>63550</v>
          </cell>
          <cell r="H9" t="str">
            <v>ABS0114-8</v>
          </cell>
          <cell r="I9">
            <v>0.4985</v>
          </cell>
          <cell r="J9">
            <v>12.7</v>
          </cell>
          <cell r="K9" t="str">
            <v>Ti-6Al-4V</v>
          </cell>
          <cell r="L9">
            <v>1100</v>
          </cell>
          <cell r="M9">
            <v>1034</v>
          </cell>
          <cell r="N9">
            <v>655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B10" t="str">
            <v>EN6115V8</v>
          </cell>
          <cell r="C10">
            <v>12.7</v>
          </cell>
          <cell r="D10">
            <v>106500</v>
          </cell>
          <cell r="E10">
            <v>5.0999999999999996</v>
          </cell>
          <cell r="F10">
            <v>82880</v>
          </cell>
          <cell r="H10" t="str">
            <v>ABS0114-9</v>
          </cell>
          <cell r="I10">
            <v>0.5605</v>
          </cell>
          <cell r="J10">
            <v>14.2875</v>
          </cell>
          <cell r="K10" t="str">
            <v>Ti-6Al-4V</v>
          </cell>
          <cell r="L10">
            <v>1100</v>
          </cell>
          <cell r="M10">
            <v>1034</v>
          </cell>
          <cell r="N10">
            <v>655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15.875</v>
          </cell>
          <cell r="K11" t="str">
            <v>Ti-6Al-4V</v>
          </cell>
          <cell r="L11">
            <v>1100</v>
          </cell>
          <cell r="M11">
            <v>1034</v>
          </cell>
          <cell r="N11">
            <v>655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19.05</v>
          </cell>
          <cell r="K12" t="str">
            <v>Ti-6Al-4V</v>
          </cell>
          <cell r="L12">
            <v>1100</v>
          </cell>
          <cell r="M12">
            <v>1034</v>
          </cell>
          <cell r="N12">
            <v>655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zing"/>
      <sheetName val="Forces_Inputs"/>
      <sheetName val="ISAMI_INPUT"/>
      <sheetName val="Standards"/>
      <sheetName val="Lug&amp;Pin_Summary"/>
      <sheetName val="Cargas"/>
    </sheetNames>
    <sheetDataSet>
      <sheetData sheetId="0">
        <row r="3">
          <cell r="B3" t="str">
            <v>ID</v>
          </cell>
        </row>
        <row r="4">
          <cell r="B4" t="str">
            <v>R464LHCF_FUS</v>
          </cell>
        </row>
        <row r="5">
          <cell r="B5" t="str">
            <v>R464RHCF_FUS</v>
          </cell>
        </row>
        <row r="6">
          <cell r="B6" t="str">
            <v>R462LHCF_IN_FUS</v>
          </cell>
        </row>
        <row r="7">
          <cell r="B7" t="str">
            <v>R462RHCF_IN_FUS</v>
          </cell>
        </row>
        <row r="8">
          <cell r="B8" t="str">
            <v>R462LHCF_OU_FUS</v>
          </cell>
        </row>
        <row r="9">
          <cell r="B9" t="str">
            <v>R462RHCF_OU_FUS</v>
          </cell>
        </row>
        <row r="10">
          <cell r="B10" t="str">
            <v>R482LHCF_FUS</v>
          </cell>
        </row>
        <row r="11">
          <cell r="B11" t="str">
            <v>R482RHCF_FUS</v>
          </cell>
        </row>
        <row r="12">
          <cell r="B12" t="str">
            <v>R483LHCF_FUS</v>
          </cell>
        </row>
        <row r="13">
          <cell r="B13" t="str">
            <v>R483RHCF_FUS</v>
          </cell>
        </row>
        <row r="14">
          <cell r="B14" t="str">
            <v>R492LHCF_FUS</v>
          </cell>
        </row>
        <row r="15">
          <cell r="B15" t="str">
            <v>R492RHCF_FUS</v>
          </cell>
        </row>
        <row r="16">
          <cell r="B16" t="str">
            <v>R493LHCF_FUS</v>
          </cell>
        </row>
        <row r="17">
          <cell r="B17" t="str">
            <v>R493RHCF_FUS</v>
          </cell>
        </row>
        <row r="18">
          <cell r="B18" t="str">
            <v>R503LHCF_FUS</v>
          </cell>
        </row>
        <row r="19">
          <cell r="B19" t="str">
            <v>R503RHCF_FUS</v>
          </cell>
        </row>
        <row r="20">
          <cell r="B20" t="str">
            <v>R532LH-HPAFTCF_FUS</v>
          </cell>
        </row>
        <row r="21">
          <cell r="B21" t="str">
            <v>R532RH-HPAFTCF_FUS</v>
          </cell>
        </row>
        <row r="22">
          <cell r="B22" t="str">
            <v>R533LH-HPAFTCF_FUS</v>
          </cell>
        </row>
        <row r="23">
          <cell r="B23" t="str">
            <v>R533RH-HPAFTCF_FUS</v>
          </cell>
        </row>
        <row r="24">
          <cell r="B24" t="str">
            <v>R532LH-HPFWDCF_FUS</v>
          </cell>
        </row>
        <row r="25">
          <cell r="B25" t="str">
            <v>R532RH-HPFWDCF_FUS</v>
          </cell>
        </row>
        <row r="26">
          <cell r="B26" t="str">
            <v>R533LH-HPFWDCF_FUS</v>
          </cell>
        </row>
        <row r="27">
          <cell r="B27" t="str">
            <v>R533RH-HPFWDCF_FUS</v>
          </cell>
        </row>
        <row r="28">
          <cell r="B28" t="str">
            <v>R54STOP-FW-LHCF_FUS</v>
          </cell>
        </row>
        <row r="29">
          <cell r="B29" t="str">
            <v>R54STOP-FW-RHCF_FUS</v>
          </cell>
        </row>
        <row r="30">
          <cell r="B30" t="str">
            <v>R422RH-INCF_FUS</v>
          </cell>
        </row>
        <row r="31">
          <cell r="B31" t="str">
            <v>R422LHCF_FUS</v>
          </cell>
        </row>
        <row r="32">
          <cell r="B32" t="str">
            <v>R423LHCF_FUS</v>
          </cell>
        </row>
        <row r="33">
          <cell r="B33" t="str">
            <v>R423RHCF_FUS</v>
          </cell>
        </row>
        <row r="34">
          <cell r="B34" t="str">
            <v>R432RHCF_FUS</v>
          </cell>
        </row>
        <row r="35">
          <cell r="B35" t="str">
            <v>R441LHCF_FUS</v>
          </cell>
        </row>
        <row r="36">
          <cell r="B36" t="str">
            <v>R441RHCF_FUS</v>
          </cell>
        </row>
        <row r="37">
          <cell r="B37" t="str">
            <v>R442LHCF_FUS</v>
          </cell>
        </row>
        <row r="38">
          <cell r="B38" t="str">
            <v>R442RHCF_FUS</v>
          </cell>
        </row>
        <row r="39">
          <cell r="B39" t="str">
            <v>R443LHCF_FUS</v>
          </cell>
        </row>
        <row r="40">
          <cell r="B40" t="str">
            <v>R443RHCF_FUS</v>
          </cell>
        </row>
        <row r="41">
          <cell r="B41" t="str">
            <v>R63HB_BF_LHCF_FUS</v>
          </cell>
        </row>
        <row r="42">
          <cell r="B42" t="str">
            <v>R63HB_BF_RHCF_FUS</v>
          </cell>
        </row>
        <row r="43">
          <cell r="B43" t="str">
            <v>R63HF-BF_LHCF_FUS</v>
          </cell>
        </row>
        <row r="44">
          <cell r="B44" t="str">
            <v>R461LHCF_FUS</v>
          </cell>
        </row>
        <row r="45">
          <cell r="B45" t="str">
            <v>R461RHCF_FUS</v>
          </cell>
        </row>
        <row r="46">
          <cell r="B46" t="str">
            <v>R471LHCF_FUS</v>
          </cell>
        </row>
        <row r="47">
          <cell r="B47" t="str">
            <v>R471RHCF_FUS</v>
          </cell>
        </row>
        <row r="48">
          <cell r="B48" t="str">
            <v>R491LH2CF_FUS</v>
          </cell>
        </row>
        <row r="49">
          <cell r="B49" t="str">
            <v>R491RH2CF_FUS</v>
          </cell>
        </row>
        <row r="50">
          <cell r="B50" t="str">
            <v>R491LH1CF_FUS</v>
          </cell>
        </row>
        <row r="51">
          <cell r="B51" t="str">
            <v>R491RH1CF_FUS</v>
          </cell>
        </row>
        <row r="52">
          <cell r="B52" t="str">
            <v>R511LHCF_FUS</v>
          </cell>
        </row>
        <row r="53">
          <cell r="B53" t="str">
            <v>R511RHCF_FUS</v>
          </cell>
        </row>
        <row r="54">
          <cell r="B54" t="str">
            <v>R531LHCF_FUS</v>
          </cell>
        </row>
        <row r="55">
          <cell r="B55" t="str">
            <v>R531RHCF_FUS</v>
          </cell>
        </row>
        <row r="56">
          <cell r="B56" t="str">
            <v>R521LHCF_FUS</v>
          </cell>
        </row>
        <row r="57">
          <cell r="B57" t="str">
            <v>R521RHCF_FUS</v>
          </cell>
        </row>
        <row r="58">
          <cell r="B58" t="str">
            <v>R551LH2CF_FUS</v>
          </cell>
        </row>
        <row r="59">
          <cell r="B59" t="str">
            <v>R551RH2CF_FUS</v>
          </cell>
        </row>
        <row r="60">
          <cell r="B60" t="str">
            <v>R551LH1CF_FUS</v>
          </cell>
        </row>
        <row r="61">
          <cell r="B61" t="str">
            <v>R551RH1CF_FUS</v>
          </cell>
        </row>
        <row r="62">
          <cell r="B62" t="str">
            <v>R561LHCF_FUS</v>
          </cell>
        </row>
        <row r="63">
          <cell r="B63" t="str">
            <v>R561RHCF_FUS</v>
          </cell>
        </row>
        <row r="64">
          <cell r="B64" t="str">
            <v>R571LHCF_FUS</v>
          </cell>
        </row>
        <row r="65">
          <cell r="B65" t="str">
            <v>R571RHCF_FUS</v>
          </cell>
        </row>
        <row r="66">
          <cell r="B66" t="str">
            <v>R581LHCF_FUS</v>
          </cell>
        </row>
        <row r="67">
          <cell r="B67" t="str">
            <v>R581RHCF_FUS</v>
          </cell>
        </row>
        <row r="68">
          <cell r="B68" t="str">
            <v>R591LHCF_FUS</v>
          </cell>
        </row>
        <row r="69">
          <cell r="B69" t="str">
            <v>R591RHCF_FUS</v>
          </cell>
        </row>
        <row r="70">
          <cell r="B70" t="str">
            <v>R631LHCF_FUS</v>
          </cell>
        </row>
        <row r="71">
          <cell r="B71" t="str">
            <v>R631RHCF_FUS</v>
          </cell>
        </row>
        <row r="72">
          <cell r="B72" t="str">
            <v>R632LHCF_FUS</v>
          </cell>
        </row>
        <row r="73">
          <cell r="B73" t="str">
            <v>R632RHCF_FUS</v>
          </cell>
        </row>
        <row r="74">
          <cell r="B74" t="str">
            <v>R633LHCF_FUS</v>
          </cell>
        </row>
        <row r="75">
          <cell r="B75" t="str">
            <v>R633RHCF_FUS</v>
          </cell>
        </row>
        <row r="76">
          <cell r="B76" t="str">
            <v>R652LHCF_FUS</v>
          </cell>
        </row>
        <row r="77">
          <cell r="B77" t="str">
            <v>R653LHCF_FUS</v>
          </cell>
        </row>
        <row r="78">
          <cell r="B78" t="str">
            <v>R653RHCF_FUS</v>
          </cell>
        </row>
        <row r="79">
          <cell r="B79" t="str">
            <v>R652RH-INCF_FUS</v>
          </cell>
        </row>
        <row r="80">
          <cell r="B80" t="str">
            <v>R651LH-OBCF_FUS</v>
          </cell>
        </row>
        <row r="81">
          <cell r="B81" t="str">
            <v>R651RH-OBCF_FUS</v>
          </cell>
        </row>
        <row r="82">
          <cell r="B82" t="str">
            <v>R652RH-OBCF_FUS</v>
          </cell>
        </row>
        <row r="83">
          <cell r="B83" t="str">
            <v>R672LHCF_FUS</v>
          </cell>
        </row>
        <row r="84">
          <cell r="B84" t="str">
            <v>R672RHCF_FUS</v>
          </cell>
        </row>
        <row r="85">
          <cell r="B85" t="str">
            <v>R673LHCF_FUS</v>
          </cell>
        </row>
        <row r="86">
          <cell r="B86" t="str">
            <v>R673RHCF_FUS</v>
          </cell>
        </row>
        <row r="87">
          <cell r="B87" t="str">
            <v>R693LHCF_FUS</v>
          </cell>
        </row>
        <row r="88">
          <cell r="B88" t="str">
            <v>R693RHBF_FUS</v>
          </cell>
        </row>
        <row r="89">
          <cell r="B89" t="str">
            <v>R594LH-OBCF_FUS</v>
          </cell>
        </row>
        <row r="90">
          <cell r="B90" t="str">
            <v>R594RH-OBCF_FUS</v>
          </cell>
        </row>
        <row r="91">
          <cell r="B91" t="str">
            <v>R604LH-AFSLCF_FUS</v>
          </cell>
        </row>
        <row r="92">
          <cell r="B92" t="str">
            <v>R604RH-AFSLCF_FUS</v>
          </cell>
        </row>
        <row r="93">
          <cell r="B93" t="str">
            <v>R601LHCF_FUS</v>
          </cell>
        </row>
        <row r="94">
          <cell r="B94" t="str">
            <v>R601RHCF_FUS</v>
          </cell>
        </row>
        <row r="95">
          <cell r="B95" t="str">
            <v>R601LH-AFTCF_FUS</v>
          </cell>
        </row>
        <row r="96">
          <cell r="B96" t="str">
            <v>R601RH-AFTCF_FUS</v>
          </cell>
        </row>
        <row r="97">
          <cell r="B97" t="str">
            <v>R612LH-FWCF_FUS</v>
          </cell>
        </row>
        <row r="98">
          <cell r="B98" t="str">
            <v>R612RH-FWCF_FUS</v>
          </cell>
        </row>
        <row r="99">
          <cell r="B99" t="str">
            <v>R602LHCF_FUS</v>
          </cell>
        </row>
        <row r="100">
          <cell r="B100" t="str">
            <v>R602RHCF_FUS</v>
          </cell>
        </row>
        <row r="101">
          <cell r="B101" t="str">
            <v>R61STOP-LHCF_FUS</v>
          </cell>
        </row>
        <row r="102">
          <cell r="B102" t="str">
            <v>R61STOP-RHCF_FUS</v>
          </cell>
        </row>
        <row r="103">
          <cell r="B103" t="str">
            <v>R594LH-INCF_FUS</v>
          </cell>
        </row>
        <row r="104">
          <cell r="B104" t="str">
            <v>R594RH-INCF_FUS</v>
          </cell>
        </row>
        <row r="105">
          <cell r="B105" t="str">
            <v>54102480_FUS</v>
          </cell>
        </row>
        <row r="106">
          <cell r="B106" t="str">
            <v>54152480_FUS</v>
          </cell>
        </row>
        <row r="107">
          <cell r="B107" t="str">
            <v>54202480_FUS</v>
          </cell>
        </row>
        <row r="108">
          <cell r="B108" t="str">
            <v>54252480_FUS</v>
          </cell>
        </row>
        <row r="109">
          <cell r="B109" t="str">
            <v>54102481_FUS</v>
          </cell>
        </row>
        <row r="110">
          <cell r="B110" t="str">
            <v>54152481_FUS</v>
          </cell>
        </row>
        <row r="111">
          <cell r="B111" t="str">
            <v>54402480_FUS</v>
          </cell>
        </row>
        <row r="112">
          <cell r="B112" t="str">
            <v>54452480_FUS</v>
          </cell>
        </row>
        <row r="113">
          <cell r="B113" t="str">
            <v>54402481_FUS</v>
          </cell>
        </row>
        <row r="114">
          <cell r="B114" t="str">
            <v>54452481_FUS</v>
          </cell>
        </row>
        <row r="115">
          <cell r="B115" t="str">
            <v>55602490_FUS</v>
          </cell>
        </row>
        <row r="116">
          <cell r="B116" t="str">
            <v>55652490_FUS</v>
          </cell>
        </row>
        <row r="117">
          <cell r="B117" t="str">
            <v>55802490_FUS</v>
          </cell>
        </row>
        <row r="118">
          <cell r="B118" t="str">
            <v>55852490_FUS</v>
          </cell>
        </row>
        <row r="119">
          <cell r="B119" t="str">
            <v>55902480_FUS</v>
          </cell>
        </row>
        <row r="120">
          <cell r="B120" t="str">
            <v>55952480_FUS</v>
          </cell>
        </row>
        <row r="121">
          <cell r="B121" t="str">
            <v>55902499_FUS</v>
          </cell>
        </row>
        <row r="122">
          <cell r="B122" t="str">
            <v>55952499_FUS</v>
          </cell>
        </row>
        <row r="123">
          <cell r="B123" t="str">
            <v>56002499_FUS</v>
          </cell>
        </row>
        <row r="124">
          <cell r="B124" t="str">
            <v>56052499_FUS</v>
          </cell>
        </row>
        <row r="125">
          <cell r="B125" t="str">
            <v>55510536_FUS</v>
          </cell>
        </row>
        <row r="126">
          <cell r="B126" t="str">
            <v>55520536_FUS</v>
          </cell>
        </row>
        <row r="127">
          <cell r="B127" t="str">
            <v>R633RHGS_FUS</v>
          </cell>
        </row>
        <row r="128">
          <cell r="B128" t="str">
            <v>R653RHFW_FUS</v>
          </cell>
        </row>
        <row r="129">
          <cell r="B129" t="str">
            <v>R633LHGS_FUS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I18:K28"/>
  <sheetViews>
    <sheetView tabSelected="1" workbookViewId="0">
      <selection activeCell="P36" sqref="P36"/>
    </sheetView>
  </sheetViews>
  <sheetFormatPr baseColWidth="10" defaultColWidth="11.42578125" defaultRowHeight="15" x14ac:dyDescent="0.25"/>
  <cols>
    <col min="1" max="6" width="11.42578125" style="43"/>
    <col min="7" max="7" width="11.42578125" style="43" customWidth="1"/>
    <col min="8" max="8" width="13.5703125" style="43" customWidth="1"/>
    <col min="9" max="16384" width="11.42578125" style="43"/>
  </cols>
  <sheetData>
    <row r="18" spans="9:11" x14ac:dyDescent="0.25">
      <c r="J18" s="52" t="s">
        <v>150</v>
      </c>
      <c r="K18" s="53"/>
    </row>
    <row r="19" spans="9:11" x14ac:dyDescent="0.25">
      <c r="J19" s="54" t="s">
        <v>151</v>
      </c>
      <c r="K19" s="54"/>
    </row>
    <row r="20" spans="9:11" x14ac:dyDescent="0.25">
      <c r="J20" s="54" t="s">
        <v>155</v>
      </c>
      <c r="K20" s="54"/>
    </row>
    <row r="21" spans="9:11" x14ac:dyDescent="0.25">
      <c r="J21" s="54" t="s">
        <v>152</v>
      </c>
      <c r="K21" s="54"/>
    </row>
    <row r="22" spans="9:11" x14ac:dyDescent="0.25">
      <c r="J22" s="54" t="s">
        <v>153</v>
      </c>
      <c r="K22" s="54"/>
    </row>
    <row r="23" spans="9:11" x14ac:dyDescent="0.25">
      <c r="J23" s="60" t="s">
        <v>154</v>
      </c>
      <c r="K23" s="60"/>
    </row>
    <row r="28" spans="9:11" x14ac:dyDescent="0.25">
      <c r="I28"/>
      <c r="J28"/>
    </row>
  </sheetData>
  <mergeCells count="1">
    <mergeCell ref="J23:K2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K173"/>
  <sheetViews>
    <sheetView showGridLines="0" zoomScale="90" zoomScaleNormal="90" workbookViewId="0">
      <selection activeCell="H41" sqref="H41"/>
    </sheetView>
  </sheetViews>
  <sheetFormatPr baseColWidth="10" defaultColWidth="11.42578125" defaultRowHeight="15" x14ac:dyDescent="0.25"/>
  <cols>
    <col min="1" max="1" width="29.7109375" style="1" customWidth="1"/>
    <col min="2" max="2" width="12.140625" style="1" customWidth="1"/>
    <col min="3" max="3" width="9.42578125" style="1" customWidth="1"/>
    <col min="4" max="4" width="7.42578125" style="1" customWidth="1"/>
    <col min="5" max="5" width="7.7109375" style="1" bestFit="1" customWidth="1"/>
    <col min="6" max="6" width="6.7109375" style="1" bestFit="1" customWidth="1"/>
    <col min="7" max="8" width="7.85546875" style="1" bestFit="1" customWidth="1"/>
    <col min="9" max="9" width="13.85546875" style="1" customWidth="1"/>
    <col min="10" max="10" width="14" style="1" customWidth="1"/>
    <col min="11" max="11" width="12.85546875" style="1" customWidth="1"/>
    <col min="12" max="12" width="12.140625" style="1" bestFit="1" customWidth="1"/>
    <col min="13" max="13" width="21.85546875" style="1" customWidth="1"/>
    <col min="14" max="14" width="15.28515625" style="1" customWidth="1"/>
    <col min="15" max="15" width="14.7109375" style="1" customWidth="1"/>
    <col min="16" max="17" width="10.7109375" style="1" customWidth="1"/>
    <col min="18" max="18" width="15.42578125" style="1" bestFit="1" customWidth="1"/>
    <col min="19" max="19" width="8" style="1" bestFit="1" customWidth="1"/>
    <col min="20" max="20" width="13.85546875" style="1" customWidth="1"/>
    <col min="21" max="21" width="17" style="1" bestFit="1" customWidth="1"/>
    <col min="22" max="22" width="11.42578125" style="1"/>
    <col min="23" max="23" width="13.85546875" style="1" hidden="1" customWidth="1"/>
    <col min="24" max="25" width="0" style="1" hidden="1" customWidth="1"/>
    <col min="26" max="16384" width="11.42578125" style="1"/>
  </cols>
  <sheetData>
    <row r="1" spans="1:37" x14ac:dyDescent="0.25">
      <c r="E1" s="61" t="s">
        <v>14</v>
      </c>
      <c r="F1" s="62"/>
      <c r="G1" s="62"/>
      <c r="H1" s="62"/>
      <c r="I1" s="62"/>
      <c r="J1" s="62"/>
      <c r="K1" s="62"/>
      <c r="L1" s="62"/>
      <c r="M1" s="62"/>
      <c r="N1" s="63"/>
      <c r="O1" s="64" t="s">
        <v>1</v>
      </c>
      <c r="P1" s="65"/>
      <c r="Q1" s="66"/>
      <c r="R1" s="67" t="s">
        <v>3</v>
      </c>
      <c r="S1" s="68"/>
      <c r="T1" s="69"/>
      <c r="U1" s="70" t="s">
        <v>108</v>
      </c>
      <c r="W1" s="1" t="s">
        <v>107</v>
      </c>
      <c r="X1" s="1" t="s">
        <v>149</v>
      </c>
      <c r="Y1" s="1" t="s">
        <v>125</v>
      </c>
    </row>
    <row r="2" spans="1:37" ht="15" customHeight="1" x14ac:dyDescent="0.25">
      <c r="A2" s="49" t="s">
        <v>4</v>
      </c>
      <c r="B2" s="51" t="s">
        <v>17</v>
      </c>
      <c r="C2" s="51" t="s">
        <v>18</v>
      </c>
      <c r="D2" s="51" t="s">
        <v>16</v>
      </c>
      <c r="E2" s="48" t="s">
        <v>6</v>
      </c>
      <c r="F2" s="48" t="s">
        <v>7</v>
      </c>
      <c r="G2" s="48" t="s">
        <v>8</v>
      </c>
      <c r="H2" s="48" t="s">
        <v>9</v>
      </c>
      <c r="I2" s="48" t="s">
        <v>10</v>
      </c>
      <c r="J2" s="48" t="s">
        <v>15</v>
      </c>
      <c r="K2" s="48" t="s">
        <v>11</v>
      </c>
      <c r="L2" s="48" t="s">
        <v>12</v>
      </c>
      <c r="M2" s="48" t="s">
        <v>5</v>
      </c>
      <c r="N2" s="48" t="s">
        <v>2</v>
      </c>
      <c r="O2" s="50" t="s">
        <v>25</v>
      </c>
      <c r="P2" s="50" t="s">
        <v>13</v>
      </c>
      <c r="Q2" s="50" t="s">
        <v>2</v>
      </c>
      <c r="R2" s="6" t="s">
        <v>25</v>
      </c>
      <c r="S2" s="6" t="s">
        <v>24</v>
      </c>
      <c r="T2" s="6" t="s">
        <v>2</v>
      </c>
      <c r="U2" s="71"/>
    </row>
    <row r="3" spans="1:37" ht="18" hidden="1" customHeight="1" x14ac:dyDescent="0.25">
      <c r="A3" s="7" t="s">
        <v>4</v>
      </c>
      <c r="B3" s="46" t="s">
        <v>129</v>
      </c>
      <c r="C3" s="46" t="s">
        <v>130</v>
      </c>
      <c r="D3" s="46" t="s">
        <v>131</v>
      </c>
      <c r="E3" s="5" t="s">
        <v>132</v>
      </c>
      <c r="F3" s="5" t="s">
        <v>133</v>
      </c>
      <c r="G3" s="5" t="s">
        <v>134</v>
      </c>
      <c r="H3" s="5" t="s">
        <v>135</v>
      </c>
      <c r="I3" s="5" t="s">
        <v>136</v>
      </c>
      <c r="J3" s="5" t="s">
        <v>137</v>
      </c>
      <c r="K3" s="5" t="s">
        <v>138</v>
      </c>
      <c r="L3" s="5" t="s">
        <v>139</v>
      </c>
      <c r="M3" s="5" t="s">
        <v>140</v>
      </c>
      <c r="N3" s="5" t="s">
        <v>141</v>
      </c>
      <c r="O3" s="4" t="s">
        <v>142</v>
      </c>
      <c r="P3" s="4" t="s">
        <v>143</v>
      </c>
      <c r="Q3" s="4" t="s">
        <v>144</v>
      </c>
      <c r="R3" s="6" t="s">
        <v>145</v>
      </c>
      <c r="S3" s="6" t="s">
        <v>146</v>
      </c>
      <c r="T3" s="6" t="s">
        <v>147</v>
      </c>
      <c r="U3" s="45" t="s">
        <v>148</v>
      </c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</row>
    <row r="4" spans="1:37" x14ac:dyDescent="0.25">
      <c r="A4" s="3" t="s">
        <v>128</v>
      </c>
      <c r="B4" s="3">
        <v>1000</v>
      </c>
      <c r="C4" s="3">
        <v>70</v>
      </c>
      <c r="D4" s="44">
        <v>0.1</v>
      </c>
      <c r="E4" s="44">
        <v>33.4</v>
      </c>
      <c r="F4" s="44">
        <v>50.400000000000006</v>
      </c>
      <c r="G4" s="44">
        <v>6.6</v>
      </c>
      <c r="H4" s="44">
        <v>11.71</v>
      </c>
      <c r="I4" s="3">
        <v>0</v>
      </c>
      <c r="J4" s="3">
        <v>0</v>
      </c>
      <c r="K4" s="3">
        <v>0</v>
      </c>
      <c r="L4" s="3">
        <v>0</v>
      </c>
      <c r="M4" s="3" t="s">
        <v>107</v>
      </c>
      <c r="N4" s="3" t="s">
        <v>126</v>
      </c>
      <c r="O4" s="3" t="s">
        <v>65</v>
      </c>
      <c r="P4" s="44">
        <f>+INDEX('Bush&amp;Pin_Data'!$B$4:$D$16,MATCH(Analysis!O4,'Bush&amp;Pin_Data'!$B$4:$B$16,0),3)</f>
        <v>6.35</v>
      </c>
      <c r="Q4" s="3" t="str">
        <f>+INDEX('Bush&amp;Pin_Data'!$B$4:$D$16,MATCH(Analysis!O4,'Bush&amp;Pin_Data'!$B$4:$B$16,0),2)</f>
        <v>Ti-6Al-4V</v>
      </c>
      <c r="R4" s="3" t="s">
        <v>67</v>
      </c>
      <c r="S4" s="44">
        <f>+INDEX('Bush&amp;Pin_Data'!$J$4:$L$17,MATCH(R4,'Bush&amp;Pin_Data'!$J$4:$J$17,0),3)</f>
        <v>9.5529399999999995</v>
      </c>
      <c r="T4" s="3" t="str">
        <f>+INDEX('Bush&amp;Pin_Data'!$J$4:$L$17,MATCH(R4,'Bush&amp;Pin_Data'!$J$4:$J$17,0),2)</f>
        <v>Cres-A286</v>
      </c>
      <c r="U4" s="3" t="s">
        <v>109</v>
      </c>
    </row>
    <row r="5" spans="1:37" x14ac:dyDescent="0.25">
      <c r="A5" s="3"/>
      <c r="B5" s="3"/>
      <c r="C5" s="3"/>
      <c r="D5" s="44"/>
      <c r="E5" s="44"/>
      <c r="F5" s="44"/>
      <c r="G5" s="44"/>
      <c r="H5" s="44"/>
      <c r="I5" s="3"/>
      <c r="J5" s="3"/>
      <c r="K5" s="3"/>
      <c r="L5" s="3"/>
      <c r="M5" s="3"/>
      <c r="N5" s="3"/>
      <c r="O5" s="3"/>
      <c r="P5" s="44"/>
      <c r="Q5" s="3"/>
      <c r="R5" s="3"/>
      <c r="S5" s="44"/>
      <c r="T5" s="3"/>
      <c r="U5" s="3"/>
    </row>
    <row r="6" spans="1:37" x14ac:dyDescent="0.25">
      <c r="A6" s="3"/>
      <c r="B6" s="3"/>
      <c r="C6" s="3"/>
      <c r="D6" s="44"/>
      <c r="E6" s="44"/>
      <c r="F6" s="44"/>
      <c r="G6" s="44"/>
      <c r="H6" s="44"/>
      <c r="I6" s="3"/>
      <c r="J6" s="3"/>
      <c r="K6" s="3"/>
      <c r="L6" s="3"/>
      <c r="M6" s="3"/>
      <c r="N6" s="3"/>
      <c r="O6" s="3"/>
      <c r="P6" s="44"/>
      <c r="Q6" s="3"/>
      <c r="R6" s="3"/>
      <c r="S6" s="44"/>
      <c r="T6" s="3"/>
      <c r="U6" s="3"/>
    </row>
    <row r="7" spans="1:37" x14ac:dyDescent="0.25">
      <c r="A7" s="3"/>
      <c r="B7" s="3"/>
      <c r="C7" s="3"/>
      <c r="D7" s="44"/>
      <c r="E7" s="44"/>
      <c r="F7" s="44"/>
      <c r="G7" s="44"/>
      <c r="H7" s="44"/>
      <c r="I7" s="3"/>
      <c r="J7" s="3"/>
      <c r="K7" s="3"/>
      <c r="L7" s="3"/>
      <c r="M7" s="3"/>
      <c r="N7" s="3"/>
      <c r="O7" s="3"/>
      <c r="P7" s="44"/>
      <c r="Q7" s="3"/>
      <c r="R7" s="3"/>
      <c r="S7" s="44"/>
      <c r="T7" s="3"/>
      <c r="U7" s="3"/>
    </row>
    <row r="8" spans="1:37" x14ac:dyDescent="0.25">
      <c r="A8" s="3"/>
      <c r="B8" s="3"/>
      <c r="C8" s="3"/>
      <c r="D8" s="44"/>
      <c r="E8" s="44"/>
      <c r="F8" s="44"/>
      <c r="G8" s="44"/>
      <c r="H8" s="44"/>
      <c r="I8" s="3"/>
      <c r="J8" s="3"/>
      <c r="K8" s="3"/>
      <c r="L8" s="3"/>
      <c r="M8" s="3"/>
      <c r="N8" s="3"/>
      <c r="O8" s="3"/>
      <c r="P8" s="44"/>
      <c r="Q8" s="3"/>
      <c r="R8" s="3"/>
      <c r="S8" s="44"/>
      <c r="T8" s="3"/>
      <c r="U8" s="3"/>
    </row>
    <row r="9" spans="1:37" x14ac:dyDescent="0.25">
      <c r="A9" s="3"/>
      <c r="B9" s="3"/>
      <c r="C9" s="3"/>
      <c r="D9" s="44"/>
      <c r="E9" s="44"/>
      <c r="F9" s="44"/>
      <c r="G9" s="44"/>
      <c r="H9" s="44"/>
      <c r="I9" s="3"/>
      <c r="J9" s="3"/>
      <c r="K9" s="3"/>
      <c r="L9" s="3"/>
      <c r="M9" s="3"/>
      <c r="N9" s="3"/>
      <c r="O9" s="3"/>
      <c r="P9" s="44"/>
      <c r="Q9" s="3"/>
      <c r="R9" s="3"/>
      <c r="S9" s="44"/>
      <c r="T9" s="3"/>
      <c r="U9" s="3"/>
    </row>
    <row r="10" spans="1:37" x14ac:dyDescent="0.25">
      <c r="A10" s="3"/>
      <c r="B10" s="3"/>
      <c r="C10" s="3"/>
      <c r="D10" s="44"/>
      <c r="E10" s="44"/>
      <c r="F10" s="44"/>
      <c r="G10" s="44"/>
      <c r="H10" s="44"/>
      <c r="I10" s="3"/>
      <c r="J10" s="3"/>
      <c r="K10" s="3"/>
      <c r="L10" s="3"/>
      <c r="M10" s="3"/>
      <c r="N10" s="3"/>
      <c r="O10" s="3"/>
      <c r="P10" s="44"/>
      <c r="Q10" s="3"/>
      <c r="R10" s="3"/>
      <c r="S10" s="44"/>
      <c r="T10" s="3"/>
      <c r="U10" s="3"/>
    </row>
    <row r="11" spans="1:37" x14ac:dyDescent="0.25">
      <c r="A11" s="3"/>
      <c r="B11" s="3"/>
      <c r="C11" s="3"/>
      <c r="D11" s="44"/>
      <c r="E11" s="44"/>
      <c r="F11" s="44"/>
      <c r="G11" s="44"/>
      <c r="H11" s="44"/>
      <c r="I11" s="3"/>
      <c r="J11" s="3"/>
      <c r="K11" s="3"/>
      <c r="L11" s="3"/>
      <c r="M11" s="3"/>
      <c r="N11" s="3"/>
      <c r="O11" s="3"/>
      <c r="P11" s="44"/>
      <c r="Q11" s="3"/>
      <c r="R11" s="3"/>
      <c r="S11" s="44"/>
      <c r="T11" s="3"/>
      <c r="U11" s="3"/>
    </row>
    <row r="12" spans="1:37" x14ac:dyDescent="0.25">
      <c r="A12" s="3"/>
      <c r="B12" s="3"/>
      <c r="C12" s="3"/>
      <c r="D12" s="44"/>
      <c r="E12" s="44"/>
      <c r="F12" s="44"/>
      <c r="G12" s="44"/>
      <c r="H12" s="44"/>
      <c r="I12" s="3"/>
      <c r="J12" s="3"/>
      <c r="K12" s="3"/>
      <c r="L12" s="3"/>
      <c r="M12" s="3"/>
      <c r="N12" s="3"/>
      <c r="O12" s="3"/>
      <c r="P12" s="44"/>
      <c r="Q12" s="3"/>
      <c r="R12" s="3"/>
      <c r="S12" s="44"/>
      <c r="T12" s="3"/>
      <c r="U12" s="3"/>
    </row>
    <row r="13" spans="1:37" x14ac:dyDescent="0.25">
      <c r="A13" s="3"/>
      <c r="B13" s="3"/>
      <c r="C13" s="3"/>
      <c r="D13" s="44"/>
      <c r="E13" s="44"/>
      <c r="F13" s="44"/>
      <c r="G13" s="44"/>
      <c r="H13" s="44"/>
      <c r="I13" s="3"/>
      <c r="J13" s="3"/>
      <c r="K13" s="3"/>
      <c r="L13" s="3"/>
      <c r="M13" s="3"/>
      <c r="N13" s="3"/>
      <c r="O13" s="3"/>
      <c r="P13" s="44"/>
      <c r="Q13" s="3"/>
      <c r="R13" s="3"/>
      <c r="S13" s="44"/>
      <c r="T13" s="3"/>
      <c r="U13" s="3"/>
    </row>
    <row r="14" spans="1:37" x14ac:dyDescent="0.25">
      <c r="A14" s="3"/>
      <c r="B14" s="3"/>
      <c r="C14" s="3"/>
      <c r="D14" s="44"/>
      <c r="E14" s="44"/>
      <c r="F14" s="44"/>
      <c r="G14" s="44"/>
      <c r="H14" s="44"/>
      <c r="I14" s="3"/>
      <c r="J14" s="3"/>
      <c r="K14" s="3"/>
      <c r="L14" s="3"/>
      <c r="M14" s="3"/>
      <c r="N14" s="3"/>
      <c r="O14" s="3"/>
      <c r="P14" s="44"/>
      <c r="Q14" s="3"/>
      <c r="R14" s="3"/>
      <c r="S14" s="44"/>
      <c r="T14" s="3"/>
      <c r="U14" s="3"/>
    </row>
    <row r="15" spans="1:37" x14ac:dyDescent="0.25">
      <c r="A15" s="3"/>
      <c r="B15" s="3"/>
      <c r="C15" s="3"/>
      <c r="D15" s="44"/>
      <c r="E15" s="44"/>
      <c r="F15" s="44"/>
      <c r="G15" s="44"/>
      <c r="H15" s="44"/>
      <c r="I15" s="3"/>
      <c r="J15" s="3"/>
      <c r="K15" s="3"/>
      <c r="L15" s="3"/>
      <c r="M15" s="3"/>
      <c r="N15" s="3"/>
      <c r="O15" s="3"/>
      <c r="P15" s="44"/>
      <c r="Q15" s="3"/>
      <c r="R15" s="3"/>
      <c r="S15" s="44"/>
      <c r="T15" s="3"/>
      <c r="U15" s="3"/>
    </row>
    <row r="16" spans="1:37" x14ac:dyDescent="0.25">
      <c r="A16" s="3"/>
      <c r="B16" s="3"/>
      <c r="C16" s="3"/>
      <c r="D16" s="44"/>
      <c r="E16" s="44"/>
      <c r="F16" s="44"/>
      <c r="G16" s="44"/>
      <c r="H16" s="44"/>
      <c r="I16" s="3"/>
      <c r="J16" s="3"/>
      <c r="K16" s="3"/>
      <c r="L16" s="3"/>
      <c r="M16" s="3"/>
      <c r="N16" s="3"/>
      <c r="O16" s="3"/>
      <c r="P16" s="44"/>
      <c r="Q16" s="3"/>
      <c r="R16" s="3"/>
      <c r="S16" s="44"/>
      <c r="T16" s="3"/>
      <c r="U16" s="3"/>
    </row>
    <row r="17" spans="1:2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</sheetData>
  <mergeCells count="4">
    <mergeCell ref="E1:N1"/>
    <mergeCell ref="O1:Q1"/>
    <mergeCell ref="R1:T1"/>
    <mergeCell ref="U1:U2"/>
  </mergeCells>
  <dataValidations count="3">
    <dataValidation type="list" allowBlank="1" showInputMessage="1" showErrorMessage="1" sqref="M6:M173">
      <formula1>$W$4:$W$6</formula1>
    </dataValidation>
    <dataValidation type="list" allowBlank="1" showInputMessage="1" showErrorMessage="1" sqref="U6:U173">
      <formula1>$W$8:$W$10</formula1>
    </dataValidation>
    <dataValidation type="list" allowBlank="1" showInputMessage="1" showErrorMessage="1" sqref="M4">
      <formula1>$W$1:$Y$1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'Bush&amp;Pin_Data'!$J$4:$J$17</xm:f>
          </x14:formula1>
          <xm:sqref>R4 R6:R173</xm:sqref>
        </x14:dataValidation>
        <x14:dataValidation type="list" allowBlank="1" showInputMessage="1" showErrorMessage="1">
          <x14:formula1>
            <xm:f>'Bush&amp;Pin_Data'!$B$4:$B$13</xm:f>
          </x14:formula1>
          <xm:sqref>O4 O6:O173</xm:sqref>
        </x14:dataValidation>
        <x14:dataValidation type="list" allowBlank="1" showInputMessage="1" showErrorMessage="1">
          <x14:formula1>
            <xm:f>OFFSET(Mat_Macro!$E$3:$E$17,0,,COUNTIF(Material_list,"&lt;&gt;X"))</xm:f>
          </x14:formula1>
          <xm:sqref>N4</xm:sqref>
        </x14:dataValidation>
        <x14:dataValidation type="list" allowBlank="1" showInputMessage="1" showErrorMessage="1">
          <x14:formula1>
            <xm:f>Materials!$A$6:$A$7</xm:f>
          </x14:formula1>
          <xm:sqref>N6:N173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E18"/>
  <sheetViews>
    <sheetView showGridLines="0" workbookViewId="0">
      <selection activeCell="A18" sqref="A18"/>
    </sheetView>
  </sheetViews>
  <sheetFormatPr baseColWidth="10" defaultColWidth="11.42578125" defaultRowHeight="15" x14ac:dyDescent="0.25"/>
  <cols>
    <col min="1" max="1" width="13.28515625" bestFit="1" customWidth="1"/>
    <col min="2" max="2" width="27.85546875" bestFit="1" customWidth="1"/>
    <col min="3" max="3" width="15.7109375" bestFit="1" customWidth="1"/>
    <col min="4" max="4" width="16.28515625" bestFit="1" customWidth="1"/>
    <col min="5" max="5" width="32.5703125" bestFit="1" customWidth="1"/>
    <col min="6" max="6" width="17.7109375" customWidth="1"/>
    <col min="7" max="7" width="13.5703125" customWidth="1"/>
    <col min="8" max="8" width="13.140625" customWidth="1"/>
    <col min="9" max="9" width="13.28515625" bestFit="1" customWidth="1"/>
    <col min="10" max="10" width="12.85546875" customWidth="1"/>
    <col min="11" max="11" width="13.28515625" bestFit="1" customWidth="1"/>
  </cols>
  <sheetData>
    <row r="2" spans="1:5" x14ac:dyDescent="0.25">
      <c r="A2" s="61" t="s">
        <v>19</v>
      </c>
      <c r="B2" s="62"/>
      <c r="C2" s="62"/>
      <c r="D2" s="62"/>
      <c r="E2" s="63"/>
    </row>
    <row r="3" spans="1:5" x14ac:dyDescent="0.25">
      <c r="A3" s="47" t="s">
        <v>20</v>
      </c>
      <c r="B3" s="47" t="s">
        <v>21</v>
      </c>
      <c r="C3" s="47" t="s">
        <v>22</v>
      </c>
      <c r="D3" s="47" t="s">
        <v>23</v>
      </c>
      <c r="E3" s="47" t="s">
        <v>110</v>
      </c>
    </row>
    <row r="4" spans="1:5" x14ac:dyDescent="0.25">
      <c r="A4" s="8" t="s">
        <v>123</v>
      </c>
      <c r="B4" s="3" t="s">
        <v>111</v>
      </c>
      <c r="C4" s="3" t="s">
        <v>116</v>
      </c>
      <c r="D4" s="3" t="s">
        <v>115</v>
      </c>
      <c r="E4" s="3" t="s">
        <v>121</v>
      </c>
    </row>
    <row r="5" spans="1:5" x14ac:dyDescent="0.25">
      <c r="A5" s="8" t="s">
        <v>124</v>
      </c>
      <c r="B5" s="3" t="s">
        <v>112</v>
      </c>
      <c r="C5" s="3" t="s">
        <v>122</v>
      </c>
      <c r="D5" s="3" t="s">
        <v>115</v>
      </c>
      <c r="E5" s="3" t="s">
        <v>121</v>
      </c>
    </row>
    <row r="6" spans="1:5" x14ac:dyDescent="0.25">
      <c r="A6" s="8" t="s">
        <v>126</v>
      </c>
      <c r="B6" s="3" t="s">
        <v>113</v>
      </c>
      <c r="C6" s="3" t="s">
        <v>117</v>
      </c>
      <c r="D6" s="3" t="s">
        <v>115</v>
      </c>
      <c r="E6" s="3" t="s">
        <v>119</v>
      </c>
    </row>
    <row r="7" spans="1:5" ht="15" customHeight="1" x14ac:dyDescent="0.25">
      <c r="A7" s="8" t="s">
        <v>127</v>
      </c>
      <c r="B7" s="3" t="s">
        <v>114</v>
      </c>
      <c r="C7" s="3" t="s">
        <v>118</v>
      </c>
      <c r="D7" s="3" t="s">
        <v>115</v>
      </c>
      <c r="E7" s="3" t="s">
        <v>120</v>
      </c>
    </row>
    <row r="8" spans="1:5" ht="15" customHeight="1" x14ac:dyDescent="0.25">
      <c r="A8" s="8"/>
      <c r="B8" s="3"/>
      <c r="C8" s="3"/>
      <c r="D8" s="3"/>
      <c r="E8" s="3"/>
    </row>
    <row r="9" spans="1:5" x14ac:dyDescent="0.25">
      <c r="A9" s="8"/>
      <c r="B9" s="3"/>
      <c r="C9" s="3"/>
      <c r="D9" s="3"/>
      <c r="E9" s="3"/>
    </row>
    <row r="10" spans="1:5" x14ac:dyDescent="0.25">
      <c r="A10" s="8"/>
      <c r="B10" s="3"/>
      <c r="C10" s="3"/>
      <c r="D10" s="3"/>
      <c r="E10" s="3"/>
    </row>
    <row r="11" spans="1:5" x14ac:dyDescent="0.25">
      <c r="A11" s="8"/>
      <c r="B11" s="3"/>
      <c r="C11" s="3"/>
      <c r="D11" s="3"/>
      <c r="E11" s="3"/>
    </row>
    <row r="12" spans="1:5" x14ac:dyDescent="0.25">
      <c r="A12" s="8"/>
      <c r="B12" s="3"/>
      <c r="C12" s="3"/>
      <c r="D12" s="3"/>
      <c r="E12" s="3"/>
    </row>
    <row r="13" spans="1:5" x14ac:dyDescent="0.25">
      <c r="A13" s="8"/>
      <c r="B13" s="3"/>
      <c r="C13" s="3"/>
      <c r="D13" s="3"/>
      <c r="E13" s="3"/>
    </row>
    <row r="14" spans="1:5" x14ac:dyDescent="0.25">
      <c r="A14" s="8"/>
      <c r="B14" s="3"/>
      <c r="C14" s="3"/>
      <c r="D14" s="3"/>
      <c r="E14" s="3"/>
    </row>
    <row r="15" spans="1:5" x14ac:dyDescent="0.25">
      <c r="A15" s="8"/>
      <c r="B15" s="3"/>
      <c r="C15" s="3"/>
      <c r="D15" s="3"/>
      <c r="E15" s="3"/>
    </row>
    <row r="16" spans="1:5" x14ac:dyDescent="0.25">
      <c r="A16" s="8"/>
      <c r="B16" s="3"/>
      <c r="C16" s="3"/>
      <c r="D16" s="3"/>
      <c r="E16" s="3"/>
    </row>
    <row r="17" spans="1:5" x14ac:dyDescent="0.25">
      <c r="A17" s="8"/>
      <c r="B17" s="3"/>
      <c r="C17" s="3"/>
      <c r="D17" s="3"/>
      <c r="E17" s="3"/>
    </row>
    <row r="18" spans="1:5" x14ac:dyDescent="0.25">
      <c r="A18" s="8"/>
      <c r="B18" s="3"/>
      <c r="C18" s="3"/>
      <c r="D18" s="3"/>
      <c r="E18" s="3"/>
    </row>
  </sheetData>
  <mergeCells count="1">
    <mergeCell ref="A2:E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E17"/>
  <sheetViews>
    <sheetView workbookViewId="0">
      <selection activeCell="H7" sqref="H7"/>
    </sheetView>
  </sheetViews>
  <sheetFormatPr baseColWidth="10" defaultRowHeight="15" x14ac:dyDescent="0.25"/>
  <sheetData>
    <row r="3" spans="2:5" x14ac:dyDescent="0.25">
      <c r="B3" s="3">
        <v>1</v>
      </c>
      <c r="C3" s="3" t="str">
        <f>Materials!A4</f>
        <v>Ti-6Al-4V</v>
      </c>
      <c r="D3" s="3">
        <f>IF(C3=0,MAX(B3:B17)+1,B3)</f>
        <v>1</v>
      </c>
      <c r="E3" s="3" t="str">
        <f>IFERROR(VLOOKUP(SMALL($D$3:$D$17,B3),$B$3:$C$17,2,FALSE),"X")</f>
        <v>Ti-6Al-4V</v>
      </c>
    </row>
    <row r="4" spans="2:5" x14ac:dyDescent="0.25">
      <c r="B4" s="3">
        <v>2</v>
      </c>
      <c r="C4" s="3" t="str">
        <f>Materials!A5</f>
        <v>Cres-A286</v>
      </c>
      <c r="D4" s="3">
        <f t="shared" ref="D4:D17" si="0">IF(C4=0,MAX(B4:B18)+1,B4)</f>
        <v>2</v>
      </c>
      <c r="E4" s="3" t="str">
        <f t="shared" ref="E4:E17" si="1">IFERROR(VLOOKUP(SMALL($D$3:$D$17,B4),$B$3:$C$17,2,FALSE),"X")</f>
        <v>Cres-A286</v>
      </c>
    </row>
    <row r="5" spans="2:5" x14ac:dyDescent="0.25">
      <c r="B5" s="3">
        <v>3</v>
      </c>
      <c r="C5" s="3" t="str">
        <f>Materials!A6</f>
        <v>Al-7050-T7451</v>
      </c>
      <c r="D5" s="3">
        <f t="shared" si="0"/>
        <v>3</v>
      </c>
      <c r="E5" s="3" t="str">
        <f t="shared" si="1"/>
        <v>Al-7050-T7451</v>
      </c>
    </row>
    <row r="6" spans="2:5" x14ac:dyDescent="0.25">
      <c r="B6" s="3">
        <v>4</v>
      </c>
      <c r="C6" s="3" t="str">
        <f>Materials!A7</f>
        <v>Al-7175-T7351</v>
      </c>
      <c r="D6" s="3">
        <f t="shared" si="0"/>
        <v>4</v>
      </c>
      <c r="E6" s="3" t="str">
        <f t="shared" si="1"/>
        <v>Al-7175-T7351</v>
      </c>
    </row>
    <row r="7" spans="2:5" x14ac:dyDescent="0.25">
      <c r="B7" s="3">
        <v>5</v>
      </c>
      <c r="C7" s="3">
        <f>Materials!A8</f>
        <v>0</v>
      </c>
      <c r="D7" s="3">
        <f t="shared" si="0"/>
        <v>16</v>
      </c>
      <c r="E7" s="3" t="str">
        <f t="shared" si="1"/>
        <v>X</v>
      </c>
    </row>
    <row r="8" spans="2:5" x14ac:dyDescent="0.25">
      <c r="B8" s="3">
        <v>6</v>
      </c>
      <c r="C8" s="3">
        <f>Materials!A9</f>
        <v>0</v>
      </c>
      <c r="D8" s="3">
        <f t="shared" si="0"/>
        <v>16</v>
      </c>
      <c r="E8" s="3" t="str">
        <f t="shared" si="1"/>
        <v>X</v>
      </c>
    </row>
    <row r="9" spans="2:5" x14ac:dyDescent="0.25">
      <c r="B9" s="3">
        <v>7</v>
      </c>
      <c r="C9" s="3">
        <f>Materials!A10</f>
        <v>0</v>
      </c>
      <c r="D9" s="3">
        <f t="shared" si="0"/>
        <v>16</v>
      </c>
      <c r="E9" s="3" t="str">
        <f t="shared" si="1"/>
        <v>X</v>
      </c>
    </row>
    <row r="10" spans="2:5" x14ac:dyDescent="0.25">
      <c r="B10" s="3">
        <v>8</v>
      </c>
      <c r="C10" s="3">
        <f>Materials!A11</f>
        <v>0</v>
      </c>
      <c r="D10" s="3">
        <f t="shared" si="0"/>
        <v>16</v>
      </c>
      <c r="E10" s="3" t="str">
        <f t="shared" si="1"/>
        <v>X</v>
      </c>
    </row>
    <row r="11" spans="2:5" x14ac:dyDescent="0.25">
      <c r="B11" s="3">
        <v>9</v>
      </c>
      <c r="C11" s="3">
        <f>Materials!A12</f>
        <v>0</v>
      </c>
      <c r="D11" s="3">
        <f t="shared" si="0"/>
        <v>16</v>
      </c>
      <c r="E11" s="3" t="str">
        <f t="shared" si="1"/>
        <v>X</v>
      </c>
    </row>
    <row r="12" spans="2:5" x14ac:dyDescent="0.25">
      <c r="B12" s="3">
        <v>10</v>
      </c>
      <c r="C12" s="3">
        <f>Materials!A13</f>
        <v>0</v>
      </c>
      <c r="D12" s="3">
        <f t="shared" si="0"/>
        <v>16</v>
      </c>
      <c r="E12" s="3" t="str">
        <f t="shared" si="1"/>
        <v>X</v>
      </c>
    </row>
    <row r="13" spans="2:5" x14ac:dyDescent="0.25">
      <c r="B13" s="3">
        <v>11</v>
      </c>
      <c r="C13" s="3">
        <f>Materials!A14</f>
        <v>0</v>
      </c>
      <c r="D13" s="3">
        <f t="shared" si="0"/>
        <v>16</v>
      </c>
      <c r="E13" s="3" t="str">
        <f t="shared" si="1"/>
        <v>X</v>
      </c>
    </row>
    <row r="14" spans="2:5" x14ac:dyDescent="0.25">
      <c r="B14" s="3">
        <v>12</v>
      </c>
      <c r="C14" s="3">
        <f>Materials!A15</f>
        <v>0</v>
      </c>
      <c r="D14" s="3">
        <f t="shared" si="0"/>
        <v>16</v>
      </c>
      <c r="E14" s="3" t="str">
        <f t="shared" si="1"/>
        <v>X</v>
      </c>
    </row>
    <row r="15" spans="2:5" x14ac:dyDescent="0.25">
      <c r="B15" s="3">
        <v>13</v>
      </c>
      <c r="C15" s="3">
        <f>Materials!A16</f>
        <v>0</v>
      </c>
      <c r="D15" s="3">
        <f t="shared" si="0"/>
        <v>16</v>
      </c>
      <c r="E15" s="3" t="str">
        <f t="shared" si="1"/>
        <v>X</v>
      </c>
    </row>
    <row r="16" spans="2:5" x14ac:dyDescent="0.25">
      <c r="B16" s="3">
        <v>14</v>
      </c>
      <c r="C16" s="3">
        <f>Materials!A17</f>
        <v>0</v>
      </c>
      <c r="D16" s="3">
        <f t="shared" si="0"/>
        <v>16</v>
      </c>
      <c r="E16" s="3" t="str">
        <f t="shared" si="1"/>
        <v>X</v>
      </c>
    </row>
    <row r="17" spans="2:5" x14ac:dyDescent="0.25">
      <c r="B17" s="3">
        <v>15</v>
      </c>
      <c r="C17" s="3">
        <f>Materials!A18</f>
        <v>0</v>
      </c>
      <c r="D17" s="3">
        <f t="shared" si="0"/>
        <v>16</v>
      </c>
      <c r="E17" s="3" t="str">
        <f t="shared" si="1"/>
        <v>X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63"/>
  <sheetViews>
    <sheetView showGridLines="0" zoomScale="85" zoomScaleNormal="85" workbookViewId="0">
      <selection activeCell="E35" sqref="E35"/>
    </sheetView>
  </sheetViews>
  <sheetFormatPr baseColWidth="10" defaultColWidth="11.42578125" defaultRowHeight="15" x14ac:dyDescent="0.25"/>
  <cols>
    <col min="1" max="1" width="25.7109375" customWidth="1"/>
    <col min="2" max="2" width="15.7109375" customWidth="1"/>
    <col min="3" max="3" width="20.7109375" customWidth="1"/>
    <col min="4" max="4" width="10.7109375" customWidth="1"/>
    <col min="5" max="7" width="10.7109375" style="40" customWidth="1"/>
    <col min="8" max="8" width="12.140625" style="41" bestFit="1" customWidth="1"/>
    <col min="9" max="9" width="6.7109375" bestFit="1" customWidth="1"/>
    <col min="10" max="10" width="15.28515625" bestFit="1" customWidth="1"/>
    <col min="11" max="11" width="20.7109375" customWidth="1"/>
    <col min="12" max="14" width="10.7109375" customWidth="1"/>
    <col min="15" max="16" width="20.7109375" style="42" customWidth="1"/>
    <col min="17" max="17" width="10.7109375" style="42" customWidth="1"/>
    <col min="18" max="20" width="10.7109375" customWidth="1"/>
  </cols>
  <sheetData>
    <row r="1" spans="1:20" ht="15" customHeight="1" x14ac:dyDescent="0.25">
      <c r="A1" s="8"/>
      <c r="B1" s="76" t="s">
        <v>26</v>
      </c>
      <c r="C1" s="77"/>
      <c r="D1" s="77"/>
      <c r="E1" s="77"/>
      <c r="F1" s="77"/>
      <c r="G1" s="78"/>
      <c r="H1" s="76" t="s">
        <v>27</v>
      </c>
      <c r="I1" s="78"/>
      <c r="J1" s="76" t="s">
        <v>28</v>
      </c>
      <c r="K1" s="77"/>
      <c r="L1" s="77"/>
      <c r="M1" s="78"/>
      <c r="N1" s="76" t="s">
        <v>29</v>
      </c>
      <c r="O1" s="77"/>
      <c r="P1" s="77"/>
      <c r="Q1" s="77"/>
      <c r="R1" s="77"/>
      <c r="S1" s="77"/>
      <c r="T1" s="77"/>
    </row>
    <row r="2" spans="1:20" ht="30" x14ac:dyDescent="0.25">
      <c r="A2" s="59" t="s">
        <v>30</v>
      </c>
      <c r="B2" s="79" t="s">
        <v>31</v>
      </c>
      <c r="C2" s="72" t="s">
        <v>32</v>
      </c>
      <c r="D2" s="55" t="s">
        <v>33</v>
      </c>
      <c r="E2" s="56" t="s">
        <v>34</v>
      </c>
      <c r="F2" s="56" t="s">
        <v>35</v>
      </c>
      <c r="G2" s="57" t="s">
        <v>36</v>
      </c>
      <c r="H2" s="79" t="s">
        <v>37</v>
      </c>
      <c r="I2" s="55" t="s">
        <v>38</v>
      </c>
      <c r="J2" s="79" t="s">
        <v>39</v>
      </c>
      <c r="K2" s="72" t="s">
        <v>32</v>
      </c>
      <c r="L2" s="55" t="s">
        <v>40</v>
      </c>
      <c r="M2" s="55" t="s">
        <v>41</v>
      </c>
      <c r="N2" s="79" t="s">
        <v>42</v>
      </c>
      <c r="O2" s="72" t="s">
        <v>43</v>
      </c>
      <c r="P2" s="72" t="s">
        <v>44</v>
      </c>
      <c r="Q2" s="58" t="s">
        <v>0</v>
      </c>
      <c r="R2" s="55" t="s">
        <v>45</v>
      </c>
      <c r="S2" s="55" t="s">
        <v>40</v>
      </c>
      <c r="T2" s="55" t="s">
        <v>46</v>
      </c>
    </row>
    <row r="3" spans="1:20" x14ac:dyDescent="0.25">
      <c r="A3" s="59" t="s">
        <v>47</v>
      </c>
      <c r="B3" s="79"/>
      <c r="C3" s="72"/>
      <c r="D3" s="55" t="s">
        <v>48</v>
      </c>
      <c r="E3" s="56" t="s">
        <v>49</v>
      </c>
      <c r="F3" s="56" t="s">
        <v>50</v>
      </c>
      <c r="G3" s="56" t="s">
        <v>51</v>
      </c>
      <c r="H3" s="79"/>
      <c r="I3" s="55" t="s">
        <v>52</v>
      </c>
      <c r="J3" s="79"/>
      <c r="K3" s="72"/>
      <c r="L3" s="55" t="s">
        <v>53</v>
      </c>
      <c r="M3" s="55" t="s">
        <v>54</v>
      </c>
      <c r="N3" s="79"/>
      <c r="O3" s="72"/>
      <c r="P3" s="72"/>
      <c r="Q3" s="58" t="s">
        <v>55</v>
      </c>
      <c r="R3" s="55" t="s">
        <v>56</v>
      </c>
      <c r="S3" s="55" t="s">
        <v>57</v>
      </c>
      <c r="T3" s="55" t="s">
        <v>58</v>
      </c>
    </row>
    <row r="4" spans="1:20" x14ac:dyDescent="0.25">
      <c r="A4" s="73"/>
      <c r="B4" s="8" t="s">
        <v>59</v>
      </c>
      <c r="C4" s="8" t="s">
        <v>123</v>
      </c>
      <c r="D4" s="9">
        <v>4.8259999999999996</v>
      </c>
      <c r="E4" s="9">
        <v>8.5090000000000003</v>
      </c>
      <c r="F4" s="9">
        <v>2.9844999999999997</v>
      </c>
      <c r="G4" s="9">
        <v>0</v>
      </c>
      <c r="H4" s="9" t="s">
        <v>60</v>
      </c>
      <c r="I4" s="9">
        <v>2.7690000000000001</v>
      </c>
      <c r="J4" s="8" t="s">
        <v>61</v>
      </c>
      <c r="K4" s="8" t="s">
        <v>124</v>
      </c>
      <c r="L4" s="9">
        <v>7.9654399999999992</v>
      </c>
      <c r="M4" s="9">
        <v>11.0998</v>
      </c>
      <c r="N4" s="10" t="s">
        <v>62</v>
      </c>
      <c r="O4" s="8" t="s">
        <v>63</v>
      </c>
      <c r="P4" s="8" t="s">
        <v>64</v>
      </c>
      <c r="Q4" s="9">
        <v>14.288</v>
      </c>
      <c r="R4" s="9">
        <v>10.4</v>
      </c>
      <c r="S4" s="9">
        <v>7.14</v>
      </c>
      <c r="T4" s="9">
        <v>0.255</v>
      </c>
    </row>
    <row r="5" spans="1:20" x14ac:dyDescent="0.25">
      <c r="A5" s="74"/>
      <c r="B5" s="8" t="s">
        <v>65</v>
      </c>
      <c r="C5" s="8" t="s">
        <v>123</v>
      </c>
      <c r="D5" s="9">
        <v>6.35</v>
      </c>
      <c r="E5" s="9">
        <v>10.109</v>
      </c>
      <c r="F5" s="9">
        <v>3.3654999999999999</v>
      </c>
      <c r="G5" s="9">
        <v>0</v>
      </c>
      <c r="H5" s="9" t="s">
        <v>66</v>
      </c>
      <c r="I5" s="9">
        <v>3.1749999999999998</v>
      </c>
      <c r="J5" s="11" t="s">
        <v>67</v>
      </c>
      <c r="K5" s="8" t="s">
        <v>124</v>
      </c>
      <c r="L5" s="13">
        <v>9.5529399999999995</v>
      </c>
      <c r="M5" s="13">
        <v>12.7</v>
      </c>
      <c r="N5" s="14" t="s">
        <v>68</v>
      </c>
      <c r="O5" s="8" t="s">
        <v>63</v>
      </c>
      <c r="P5" s="8" t="s">
        <v>64</v>
      </c>
      <c r="Q5" s="9">
        <v>16.667000000000002</v>
      </c>
      <c r="R5" s="9">
        <v>12.7</v>
      </c>
      <c r="S5" s="9">
        <v>8.7100000000000009</v>
      </c>
      <c r="T5" s="9">
        <v>0.255</v>
      </c>
    </row>
    <row r="6" spans="1:20" x14ac:dyDescent="0.25">
      <c r="A6" s="74"/>
      <c r="B6" s="8" t="s">
        <v>69</v>
      </c>
      <c r="C6" s="8" t="s">
        <v>123</v>
      </c>
      <c r="D6" s="9">
        <v>7.9375</v>
      </c>
      <c r="E6" s="9">
        <v>11.683999999999999</v>
      </c>
      <c r="F6" s="9">
        <v>4.1524999999999999</v>
      </c>
      <c r="G6" s="9">
        <v>0</v>
      </c>
      <c r="H6" s="9" t="s">
        <v>70</v>
      </c>
      <c r="I6" s="9">
        <v>4.3689999999999998</v>
      </c>
      <c r="J6" s="8" t="s">
        <v>71</v>
      </c>
      <c r="K6" s="8" t="s">
        <v>124</v>
      </c>
      <c r="L6" s="9">
        <v>11.14044</v>
      </c>
      <c r="M6" s="9">
        <v>14.274800000000001</v>
      </c>
      <c r="N6" s="14" t="s">
        <v>72</v>
      </c>
      <c r="O6" s="8" t="s">
        <v>63</v>
      </c>
      <c r="P6" s="8" t="s">
        <v>64</v>
      </c>
      <c r="Q6" s="9">
        <v>19.05</v>
      </c>
      <c r="R6" s="9">
        <v>14.2</v>
      </c>
      <c r="S6" s="9">
        <v>9.5299999999999994</v>
      </c>
      <c r="T6" s="9">
        <v>0.255</v>
      </c>
    </row>
    <row r="7" spans="1:20" x14ac:dyDescent="0.25">
      <c r="A7" s="74"/>
      <c r="B7" s="8" t="s">
        <v>73</v>
      </c>
      <c r="C7" s="8" t="s">
        <v>123</v>
      </c>
      <c r="D7" s="9">
        <v>9.5249999999999986</v>
      </c>
      <c r="E7" s="9">
        <v>13.284000000000001</v>
      </c>
      <c r="F7" s="9">
        <v>4.9655000000000005</v>
      </c>
      <c r="G7" s="9">
        <v>0</v>
      </c>
      <c r="H7" s="9" t="s">
        <v>74</v>
      </c>
      <c r="I7" s="9">
        <v>5.5620000000000003</v>
      </c>
      <c r="J7" s="11" t="s">
        <v>75</v>
      </c>
      <c r="K7" s="8" t="s">
        <v>124</v>
      </c>
      <c r="L7" s="9">
        <v>12.733019999999998</v>
      </c>
      <c r="M7" s="9">
        <v>15.875</v>
      </c>
      <c r="N7" s="11" t="s">
        <v>76</v>
      </c>
      <c r="O7" s="12" t="s">
        <v>63</v>
      </c>
      <c r="P7" s="12" t="s">
        <v>64</v>
      </c>
      <c r="Q7" s="13">
        <v>20.638000000000002</v>
      </c>
      <c r="R7" s="13">
        <v>16</v>
      </c>
      <c r="S7" s="13">
        <v>10.31</v>
      </c>
      <c r="T7" s="13">
        <v>0.255</v>
      </c>
    </row>
    <row r="8" spans="1:20" x14ac:dyDescent="0.25">
      <c r="A8" s="74"/>
      <c r="B8" s="8" t="s">
        <v>77</v>
      </c>
      <c r="C8" s="8" t="s">
        <v>123</v>
      </c>
      <c r="D8" s="9">
        <v>11.112499999999999</v>
      </c>
      <c r="E8" s="9">
        <v>16.459</v>
      </c>
      <c r="F8" s="9">
        <v>5.7534999999999998</v>
      </c>
      <c r="G8" s="9">
        <v>0</v>
      </c>
      <c r="H8" s="9" t="s">
        <v>78</v>
      </c>
      <c r="I8" s="9">
        <v>6.7560000000000002</v>
      </c>
      <c r="J8" s="15" t="s">
        <v>79</v>
      </c>
      <c r="K8" s="8" t="s">
        <v>124</v>
      </c>
      <c r="L8" s="9">
        <v>14.320519999999998</v>
      </c>
      <c r="M8" s="9">
        <v>17.4498</v>
      </c>
      <c r="N8" s="14" t="s">
        <v>80</v>
      </c>
      <c r="O8" s="8" t="s">
        <v>63</v>
      </c>
      <c r="P8" s="8" t="s">
        <v>64</v>
      </c>
      <c r="Q8" s="9">
        <v>23.016999999999999</v>
      </c>
      <c r="R8" s="9">
        <v>17.5</v>
      </c>
      <c r="S8" s="9">
        <v>11.1</v>
      </c>
      <c r="T8" s="9">
        <v>0.255</v>
      </c>
    </row>
    <row r="9" spans="1:20" x14ac:dyDescent="0.25">
      <c r="A9" s="74"/>
      <c r="B9" s="8" t="s">
        <v>81</v>
      </c>
      <c r="C9" s="8" t="s">
        <v>123</v>
      </c>
      <c r="D9" s="9">
        <v>12.7</v>
      </c>
      <c r="E9" s="9">
        <v>18.033999999999999</v>
      </c>
      <c r="F9" s="9">
        <v>6.5404999999999998</v>
      </c>
      <c r="G9" s="9">
        <v>0</v>
      </c>
      <c r="H9" s="9" t="s">
        <v>82</v>
      </c>
      <c r="I9" s="9">
        <v>9.1180000000000003</v>
      </c>
      <c r="J9" s="15" t="s">
        <v>83</v>
      </c>
      <c r="K9" s="8" t="s">
        <v>124</v>
      </c>
      <c r="L9" s="9">
        <v>15.913099999999998</v>
      </c>
      <c r="M9" s="9">
        <v>19.049999999999997</v>
      </c>
      <c r="N9" s="14" t="s">
        <v>84</v>
      </c>
      <c r="O9" s="8" t="s">
        <v>63</v>
      </c>
      <c r="P9" s="8" t="s">
        <v>64</v>
      </c>
      <c r="Q9" s="9">
        <v>25.4</v>
      </c>
      <c r="R9" s="9">
        <v>19.8</v>
      </c>
      <c r="S9" s="9">
        <v>12.7</v>
      </c>
      <c r="T9" s="9">
        <v>0.255</v>
      </c>
    </row>
    <row r="10" spans="1:20" x14ac:dyDescent="0.25">
      <c r="A10" s="74"/>
      <c r="B10" s="8" t="s">
        <v>85</v>
      </c>
      <c r="C10" s="8" t="s">
        <v>123</v>
      </c>
      <c r="D10" s="9">
        <v>14.2875</v>
      </c>
      <c r="E10" s="9">
        <v>21.209</v>
      </c>
      <c r="F10" s="9">
        <v>7.3274999999999997</v>
      </c>
      <c r="G10" s="9">
        <v>0</v>
      </c>
      <c r="H10" s="9" t="s">
        <v>86</v>
      </c>
      <c r="I10" s="9">
        <v>9.9309999999999992</v>
      </c>
      <c r="J10" s="15" t="s">
        <v>87</v>
      </c>
      <c r="K10" s="8" t="s">
        <v>124</v>
      </c>
      <c r="L10" s="9">
        <v>17.505679999999998</v>
      </c>
      <c r="M10" s="9">
        <v>20.6248</v>
      </c>
      <c r="N10" s="14" t="s">
        <v>88</v>
      </c>
      <c r="O10" s="8" t="s">
        <v>63</v>
      </c>
      <c r="P10" s="8" t="s">
        <v>64</v>
      </c>
      <c r="Q10" s="9">
        <v>27.78</v>
      </c>
      <c r="R10" s="9">
        <v>22.1</v>
      </c>
      <c r="S10" s="9">
        <v>14.27</v>
      </c>
      <c r="T10" s="9">
        <v>0.255</v>
      </c>
    </row>
    <row r="11" spans="1:20" ht="15" customHeight="1" x14ac:dyDescent="0.25">
      <c r="A11" s="74"/>
      <c r="B11" s="8" t="s">
        <v>89</v>
      </c>
      <c r="C11" s="8" t="s">
        <v>123</v>
      </c>
      <c r="D11" s="9">
        <v>15.875</v>
      </c>
      <c r="E11" s="9">
        <v>22.809000000000001</v>
      </c>
      <c r="F11" s="9">
        <v>8.115499999999999</v>
      </c>
      <c r="G11" s="9">
        <v>0</v>
      </c>
      <c r="H11" s="9" t="s">
        <v>90</v>
      </c>
      <c r="I11" s="9">
        <v>11.912000000000001</v>
      </c>
      <c r="J11" s="15" t="s">
        <v>91</v>
      </c>
      <c r="K11" s="8" t="s">
        <v>124</v>
      </c>
      <c r="L11" s="9">
        <v>20.680679999999999</v>
      </c>
      <c r="M11" s="9">
        <v>25.4</v>
      </c>
      <c r="N11" s="14" t="s">
        <v>92</v>
      </c>
      <c r="O11" s="8" t="s">
        <v>63</v>
      </c>
      <c r="P11" s="8" t="s">
        <v>64</v>
      </c>
      <c r="Q11" s="9">
        <v>30.163</v>
      </c>
      <c r="R11" s="9">
        <v>24.6</v>
      </c>
      <c r="S11" s="9">
        <v>15.88</v>
      </c>
      <c r="T11" s="9">
        <v>0.255</v>
      </c>
    </row>
    <row r="12" spans="1:20" x14ac:dyDescent="0.25">
      <c r="A12" s="74"/>
      <c r="B12" s="8" t="s">
        <v>93</v>
      </c>
      <c r="C12" s="8" t="s">
        <v>123</v>
      </c>
      <c r="D12" s="9">
        <v>19.049999999999997</v>
      </c>
      <c r="E12" s="9">
        <v>25.984000000000002</v>
      </c>
      <c r="F12" s="9">
        <v>9.7155000000000005</v>
      </c>
      <c r="G12" s="9">
        <v>0</v>
      </c>
      <c r="H12" s="9" t="s">
        <v>94</v>
      </c>
      <c r="I12" s="9">
        <v>14.3</v>
      </c>
      <c r="J12" s="15" t="s">
        <v>95</v>
      </c>
      <c r="K12" s="8" t="s">
        <v>124</v>
      </c>
      <c r="L12" s="9">
        <v>23.858219999999999</v>
      </c>
      <c r="M12" s="9">
        <v>28.574999999999999</v>
      </c>
      <c r="N12" s="14" t="s">
        <v>96</v>
      </c>
      <c r="O12" s="8" t="s">
        <v>63</v>
      </c>
      <c r="P12" s="8" t="s">
        <v>64</v>
      </c>
      <c r="Q12" s="9">
        <v>36.512999999999998</v>
      </c>
      <c r="R12" s="9">
        <v>30.2</v>
      </c>
      <c r="S12" s="9">
        <v>19.05</v>
      </c>
      <c r="T12" s="9">
        <v>0.255</v>
      </c>
    </row>
    <row r="13" spans="1:20" ht="15" customHeight="1" x14ac:dyDescent="0.25">
      <c r="A13" s="74"/>
      <c r="B13" s="12" t="s">
        <v>101</v>
      </c>
      <c r="C13" s="8" t="s">
        <v>124</v>
      </c>
      <c r="D13" s="13">
        <v>9.5249999999999986</v>
      </c>
      <c r="E13" s="13">
        <v>16.356999999999999</v>
      </c>
      <c r="F13" s="13">
        <v>9.8550000000000004</v>
      </c>
      <c r="G13" s="13">
        <v>0</v>
      </c>
      <c r="H13" s="9"/>
      <c r="I13" s="9"/>
      <c r="J13" s="16" t="s">
        <v>97</v>
      </c>
      <c r="K13" s="8" t="s">
        <v>124</v>
      </c>
      <c r="L13" s="9">
        <v>9.5530000000000008</v>
      </c>
      <c r="M13" s="9">
        <v>9.5530000000000008</v>
      </c>
      <c r="N13" s="14"/>
      <c r="O13" s="8"/>
      <c r="P13" s="8"/>
      <c r="Q13" s="9"/>
      <c r="R13" s="9"/>
      <c r="S13" s="9"/>
      <c r="T13" s="9"/>
    </row>
    <row r="14" spans="1:20" ht="15" customHeight="1" x14ac:dyDescent="0.25">
      <c r="A14" s="74"/>
      <c r="B14" s="8"/>
      <c r="D14" s="9"/>
      <c r="E14" s="9"/>
      <c r="F14" s="9"/>
      <c r="G14" s="9"/>
      <c r="H14" s="9"/>
      <c r="I14" s="9"/>
      <c r="J14" s="15" t="s">
        <v>98</v>
      </c>
      <c r="K14" s="8" t="s">
        <v>124</v>
      </c>
      <c r="L14" s="9">
        <v>9.5530000000000008</v>
      </c>
      <c r="M14" s="9">
        <v>9.5530000000000008</v>
      </c>
      <c r="N14" s="14"/>
      <c r="O14" s="8"/>
      <c r="P14" s="8"/>
      <c r="Q14" s="9"/>
      <c r="R14" s="9"/>
      <c r="S14" s="9"/>
      <c r="T14" s="9"/>
    </row>
    <row r="15" spans="1:20" ht="15" customHeight="1" x14ac:dyDescent="0.25">
      <c r="A15" s="74"/>
      <c r="B15" s="8"/>
      <c r="C15" s="8"/>
      <c r="D15" s="9"/>
      <c r="E15" s="9"/>
      <c r="F15" s="9"/>
      <c r="G15" s="9"/>
      <c r="H15" s="9"/>
      <c r="I15" s="9"/>
      <c r="J15" s="15" t="s">
        <v>100</v>
      </c>
      <c r="K15" s="8" t="s">
        <v>124</v>
      </c>
      <c r="L15" s="9">
        <v>11.14</v>
      </c>
      <c r="M15" s="9">
        <v>11.14</v>
      </c>
      <c r="N15" s="14"/>
      <c r="O15" s="8"/>
      <c r="P15" s="8"/>
      <c r="Q15" s="9"/>
      <c r="R15" s="9"/>
      <c r="S15" s="9"/>
      <c r="T15" s="9"/>
    </row>
    <row r="16" spans="1:20" ht="15" customHeight="1" x14ac:dyDescent="0.25">
      <c r="A16" s="74"/>
      <c r="B16" s="8"/>
      <c r="C16" s="8"/>
      <c r="D16" s="9"/>
      <c r="E16" s="9"/>
      <c r="F16" s="9"/>
      <c r="G16" s="9"/>
      <c r="H16" s="9" t="s">
        <v>99</v>
      </c>
      <c r="I16" s="9">
        <v>2.3879999999999999</v>
      </c>
      <c r="J16" s="15" t="s">
        <v>103</v>
      </c>
      <c r="K16" s="8" t="s">
        <v>124</v>
      </c>
      <c r="L16" s="9">
        <v>11.1</v>
      </c>
      <c r="M16" s="9">
        <v>14.3</v>
      </c>
      <c r="N16" s="14"/>
      <c r="O16" s="8"/>
      <c r="P16" s="8"/>
      <c r="Q16" s="9"/>
      <c r="R16" s="9"/>
      <c r="S16" s="9"/>
      <c r="T16" s="9"/>
    </row>
    <row r="17" spans="1:20" ht="15" customHeight="1" x14ac:dyDescent="0.25">
      <c r="A17" s="74"/>
      <c r="H17" s="9" t="s">
        <v>102</v>
      </c>
      <c r="I17" s="9">
        <v>2.7690000000000001</v>
      </c>
      <c r="J17" s="15" t="s">
        <v>104</v>
      </c>
      <c r="K17" s="8" t="s">
        <v>124</v>
      </c>
      <c r="L17" s="9">
        <v>12.7</v>
      </c>
      <c r="M17" s="9">
        <v>16</v>
      </c>
      <c r="N17" s="14"/>
      <c r="O17" s="8"/>
      <c r="P17" s="8"/>
      <c r="Q17" s="9"/>
      <c r="R17" s="9"/>
      <c r="S17" s="9"/>
      <c r="T17" s="9"/>
    </row>
    <row r="18" spans="1:20" ht="15" customHeight="1" x14ac:dyDescent="0.25">
      <c r="A18" s="74"/>
      <c r="B18" s="8"/>
      <c r="C18" s="8"/>
      <c r="D18" s="9"/>
      <c r="E18" s="9"/>
      <c r="F18" s="9"/>
      <c r="G18" s="9"/>
      <c r="H18" s="9"/>
      <c r="I18" s="9"/>
      <c r="J18" s="2"/>
      <c r="K18" s="2"/>
      <c r="L18" s="2"/>
      <c r="M18" s="2"/>
      <c r="N18" s="14"/>
      <c r="O18" s="8"/>
      <c r="P18" s="8"/>
      <c r="Q18" s="9"/>
      <c r="R18" s="9"/>
      <c r="S18" s="9"/>
      <c r="T18" s="9"/>
    </row>
    <row r="19" spans="1:20" ht="15" customHeight="1" x14ac:dyDescent="0.25">
      <c r="A19" s="74"/>
      <c r="B19" s="8"/>
      <c r="C19" s="8"/>
      <c r="D19" s="9"/>
      <c r="E19" s="9"/>
      <c r="F19" s="9"/>
      <c r="G19" s="9"/>
      <c r="H19" s="9" t="s">
        <v>105</v>
      </c>
      <c r="I19" s="9">
        <v>6.35</v>
      </c>
      <c r="J19" s="15"/>
      <c r="K19" s="8"/>
      <c r="L19" s="9"/>
      <c r="M19" s="9"/>
      <c r="N19" s="14"/>
      <c r="O19" s="8"/>
      <c r="P19" s="8"/>
      <c r="Q19" s="9"/>
      <c r="R19" s="9"/>
      <c r="S19" s="9"/>
      <c r="T19" s="9"/>
    </row>
    <row r="20" spans="1:20" ht="15" customHeight="1" x14ac:dyDescent="0.25">
      <c r="A20" s="74"/>
      <c r="B20" s="8"/>
      <c r="C20" s="8"/>
      <c r="D20" s="9"/>
      <c r="E20" s="9"/>
      <c r="F20" s="9"/>
      <c r="G20" s="9"/>
      <c r="H20" s="13" t="s">
        <v>106</v>
      </c>
      <c r="I20" s="13">
        <v>11.557</v>
      </c>
      <c r="J20" s="15"/>
      <c r="K20" s="8"/>
      <c r="L20" s="9"/>
      <c r="M20" s="9"/>
      <c r="N20" s="14"/>
      <c r="O20" s="8"/>
      <c r="P20" s="8"/>
      <c r="Q20" s="9"/>
      <c r="R20" s="9"/>
      <c r="S20" s="9"/>
      <c r="T20" s="9"/>
    </row>
    <row r="21" spans="1:20" ht="15" customHeight="1" x14ac:dyDescent="0.25">
      <c r="A21" s="75"/>
      <c r="B21" s="8"/>
      <c r="C21" s="8"/>
      <c r="D21" s="9"/>
      <c r="E21" s="9"/>
      <c r="F21" s="9"/>
      <c r="G21" s="9"/>
      <c r="H21" s="9"/>
      <c r="I21" s="9"/>
      <c r="J21" s="15"/>
      <c r="K21" s="8"/>
      <c r="L21" s="9"/>
      <c r="M21" s="9"/>
      <c r="N21" s="14"/>
      <c r="O21" s="8"/>
      <c r="P21" s="8"/>
      <c r="Q21" s="9"/>
      <c r="R21" s="9"/>
      <c r="S21" s="9"/>
      <c r="T21" s="9"/>
    </row>
    <row r="22" spans="1:20" x14ac:dyDescent="0.25">
      <c r="A22" s="17"/>
      <c r="B22" s="17"/>
      <c r="C22" s="17"/>
      <c r="D22" s="18"/>
      <c r="E22" s="18"/>
      <c r="F22" s="18"/>
      <c r="G22" s="18"/>
      <c r="H22" s="18"/>
      <c r="I22" s="18"/>
      <c r="J22" s="19"/>
      <c r="K22" s="17"/>
      <c r="L22" s="18"/>
      <c r="M22" s="18"/>
      <c r="N22" s="20"/>
      <c r="O22" s="17"/>
      <c r="P22" s="17"/>
      <c r="Q22" s="18"/>
      <c r="R22" s="18"/>
      <c r="S22" s="18"/>
      <c r="T22" s="18"/>
    </row>
    <row r="23" spans="1:20" x14ac:dyDescent="0.25">
      <c r="A23" s="17"/>
      <c r="B23" s="17"/>
      <c r="C23" s="17"/>
      <c r="D23" s="18"/>
      <c r="E23" s="18"/>
      <c r="F23" s="18"/>
      <c r="G23" s="18"/>
      <c r="H23" s="18"/>
      <c r="I23" s="18"/>
      <c r="J23" s="19"/>
      <c r="K23" s="17"/>
      <c r="L23" s="18"/>
      <c r="M23" s="18"/>
      <c r="N23" s="20"/>
      <c r="O23" s="17"/>
      <c r="P23" s="17"/>
      <c r="Q23" s="18"/>
      <c r="R23" s="18"/>
      <c r="S23" s="18"/>
      <c r="T23" s="18"/>
    </row>
    <row r="24" spans="1:20" x14ac:dyDescent="0.25">
      <c r="A24" s="17"/>
      <c r="B24" s="17"/>
      <c r="C24" s="17"/>
      <c r="D24" s="18"/>
      <c r="E24" s="18"/>
      <c r="F24" s="18"/>
      <c r="G24" s="18"/>
      <c r="H24" s="18"/>
      <c r="I24" s="18"/>
      <c r="J24" s="19"/>
      <c r="K24" s="17"/>
      <c r="L24" s="18"/>
      <c r="M24" s="18"/>
      <c r="N24" s="20"/>
      <c r="O24" s="17"/>
      <c r="P24" s="17"/>
      <c r="Q24" s="18"/>
      <c r="R24" s="18"/>
      <c r="S24" s="18"/>
      <c r="T24" s="18"/>
    </row>
    <row r="25" spans="1:20" x14ac:dyDescent="0.25">
      <c r="E25"/>
      <c r="F25"/>
      <c r="G25"/>
      <c r="H25"/>
      <c r="O25"/>
      <c r="P25"/>
      <c r="Q25"/>
    </row>
    <row r="26" spans="1:20" x14ac:dyDescent="0.25">
      <c r="E26"/>
      <c r="F26"/>
      <c r="G26"/>
      <c r="H26"/>
      <c r="O26"/>
      <c r="P26"/>
      <c r="Q26"/>
    </row>
    <row r="27" spans="1:20" x14ac:dyDescent="0.25">
      <c r="E27"/>
      <c r="F27"/>
      <c r="G27"/>
      <c r="H27"/>
      <c r="O27"/>
      <c r="P27"/>
      <c r="Q27"/>
    </row>
    <row r="42" spans="1:51" x14ac:dyDescent="0.25">
      <c r="A42" s="21"/>
      <c r="B42" s="21"/>
      <c r="C42" s="21"/>
      <c r="D42" s="21"/>
      <c r="E42" s="22"/>
      <c r="F42" s="22"/>
      <c r="G42" s="22"/>
      <c r="H42" s="23"/>
      <c r="I42" s="21"/>
      <c r="J42" s="21"/>
      <c r="K42" s="21"/>
      <c r="L42" s="21"/>
      <c r="M42" s="21"/>
      <c r="N42" s="21"/>
      <c r="O42" s="24"/>
      <c r="P42" s="24"/>
      <c r="Q42" s="24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</row>
    <row r="43" spans="1:51" x14ac:dyDescent="0.25">
      <c r="A43" s="21"/>
      <c r="B43" s="21"/>
      <c r="C43" s="21"/>
      <c r="D43" s="21"/>
      <c r="E43" s="22"/>
      <c r="F43" s="22"/>
      <c r="G43" s="22"/>
      <c r="H43" s="23"/>
      <c r="I43" s="21"/>
      <c r="J43" s="21"/>
      <c r="K43" s="21"/>
      <c r="L43" s="21"/>
      <c r="M43" s="21"/>
      <c r="N43" s="21"/>
      <c r="O43" s="24"/>
      <c r="P43" s="24"/>
      <c r="Q43" s="24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</row>
    <row r="44" spans="1:51" x14ac:dyDescent="0.25">
      <c r="A44" s="21"/>
      <c r="B44" s="21"/>
      <c r="C44" s="21"/>
      <c r="D44" s="21"/>
      <c r="E44" s="22"/>
      <c r="F44" s="22"/>
      <c r="G44" s="22"/>
      <c r="H44" s="23"/>
      <c r="I44" s="21"/>
      <c r="J44" s="21"/>
      <c r="K44" s="21"/>
      <c r="L44" s="21"/>
      <c r="M44" s="21"/>
      <c r="N44" s="21"/>
      <c r="O44" s="24"/>
      <c r="P44" s="24"/>
      <c r="Q44" s="24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5"/>
      <c r="AI44" s="25"/>
      <c r="AJ44" s="25"/>
      <c r="AK44" s="25"/>
      <c r="AL44" s="21"/>
      <c r="AM44" s="26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</row>
    <row r="45" spans="1:51" x14ac:dyDescent="0.25">
      <c r="A45" s="27"/>
      <c r="B45" s="27"/>
      <c r="C45" s="27"/>
      <c r="D45" s="27"/>
      <c r="E45" s="28"/>
      <c r="F45" s="28"/>
      <c r="G45" s="28"/>
      <c r="H45" s="29"/>
      <c r="I45" s="27"/>
      <c r="J45" s="27"/>
      <c r="K45" s="27"/>
      <c r="L45" s="27"/>
      <c r="M45" s="27"/>
      <c r="N45" s="27"/>
      <c r="O45" s="30"/>
      <c r="P45" s="30"/>
      <c r="Q45" s="30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1"/>
      <c r="AG45" s="21"/>
      <c r="AH45" s="31"/>
      <c r="AI45" s="31"/>
      <c r="AJ45" s="31"/>
      <c r="AK45" s="31"/>
      <c r="AL45" s="21"/>
      <c r="AM45" s="27"/>
      <c r="AN45" s="27"/>
      <c r="AO45" s="27"/>
      <c r="AP45" s="27"/>
      <c r="AQ45" s="21"/>
      <c r="AR45" s="21"/>
      <c r="AS45" s="21"/>
      <c r="AT45" s="21"/>
      <c r="AU45" s="21"/>
      <c r="AV45" s="21"/>
      <c r="AW45" s="21"/>
      <c r="AX45" s="21"/>
      <c r="AY45" s="21"/>
    </row>
    <row r="46" spans="1:51" x14ac:dyDescent="0.25">
      <c r="A46" s="32"/>
      <c r="B46" s="32"/>
      <c r="C46" s="32"/>
      <c r="D46" s="32"/>
      <c r="E46" s="33"/>
      <c r="F46" s="33"/>
      <c r="G46" s="33"/>
      <c r="H46" s="33"/>
      <c r="I46" s="32"/>
      <c r="J46" s="32"/>
      <c r="K46" s="32"/>
      <c r="L46" s="32"/>
      <c r="M46" s="32"/>
      <c r="N46" s="32"/>
      <c r="O46" s="34"/>
      <c r="P46" s="34"/>
      <c r="Q46" s="34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21"/>
      <c r="AG46" s="21"/>
      <c r="AH46" s="32"/>
      <c r="AI46" s="32"/>
      <c r="AJ46" s="32"/>
      <c r="AK46" s="32"/>
      <c r="AL46" s="21"/>
      <c r="AM46" s="32"/>
      <c r="AN46" s="32"/>
      <c r="AO46" s="32"/>
      <c r="AP46" s="32"/>
      <c r="AQ46" s="32"/>
      <c r="AR46" s="21"/>
      <c r="AS46" s="21"/>
      <c r="AT46" s="21"/>
      <c r="AU46" s="21"/>
      <c r="AV46" s="21"/>
      <c r="AW46" s="21"/>
      <c r="AX46" s="21"/>
      <c r="AY46" s="21"/>
    </row>
    <row r="47" spans="1:51" x14ac:dyDescent="0.25">
      <c r="A47" s="21"/>
      <c r="B47" s="24"/>
      <c r="C47" s="35"/>
      <c r="D47" s="35"/>
      <c r="E47" s="36"/>
      <c r="F47" s="36"/>
      <c r="G47" s="36"/>
      <c r="H47" s="37"/>
      <c r="I47" s="21"/>
      <c r="J47" s="21"/>
      <c r="K47" s="21"/>
      <c r="L47" s="21"/>
      <c r="M47" s="21"/>
      <c r="N47" s="21"/>
      <c r="O47" s="24"/>
      <c r="P47" s="24"/>
      <c r="Q47" s="24"/>
      <c r="R47" s="38"/>
      <c r="S47" s="38"/>
      <c r="T47" s="38"/>
      <c r="U47" s="38"/>
      <c r="V47" s="38"/>
      <c r="W47" s="21"/>
      <c r="X47" s="38"/>
      <c r="Y47" s="25"/>
      <c r="Z47" s="39"/>
      <c r="AA47" s="39"/>
      <c r="AB47" s="21"/>
      <c r="AC47" s="21"/>
      <c r="AD47" s="21"/>
      <c r="AE47" s="21"/>
      <c r="AF47" s="21"/>
      <c r="AG47" s="21"/>
      <c r="AH47" s="21"/>
      <c r="AI47" s="24"/>
      <c r="AJ47" s="24"/>
      <c r="AK47" s="21"/>
      <c r="AL47" s="21"/>
      <c r="AM47" s="21"/>
      <c r="AN47" s="24"/>
      <c r="AO47" s="24"/>
      <c r="AP47" s="24"/>
      <c r="AQ47" s="24"/>
      <c r="AR47" s="21"/>
      <c r="AS47" s="21"/>
      <c r="AT47" s="21"/>
      <c r="AU47" s="21"/>
      <c r="AV47" s="21"/>
      <c r="AW47" s="21"/>
      <c r="AX47" s="21"/>
      <c r="AY47" s="21"/>
    </row>
    <row r="48" spans="1:51" x14ac:dyDescent="0.25">
      <c r="A48" s="21"/>
      <c r="B48" s="24"/>
      <c r="C48" s="35"/>
      <c r="D48" s="35"/>
      <c r="E48" s="36"/>
      <c r="F48" s="36"/>
      <c r="G48" s="36"/>
      <c r="H48" s="37"/>
      <c r="I48" s="21"/>
      <c r="J48" s="21"/>
      <c r="K48" s="21"/>
      <c r="L48" s="21"/>
      <c r="M48" s="21"/>
      <c r="N48" s="21"/>
      <c r="O48" s="24"/>
      <c r="P48" s="24"/>
      <c r="Q48" s="24"/>
      <c r="R48" s="38"/>
      <c r="S48" s="38"/>
      <c r="T48" s="38"/>
      <c r="U48" s="38"/>
      <c r="V48" s="38"/>
      <c r="W48" s="21"/>
      <c r="X48" s="38"/>
      <c r="Y48" s="25"/>
      <c r="Z48" s="39"/>
      <c r="AA48" s="39"/>
      <c r="AB48" s="21"/>
      <c r="AC48" s="21"/>
      <c r="AD48" s="21"/>
      <c r="AE48" s="21"/>
      <c r="AF48" s="21"/>
      <c r="AG48" s="21"/>
      <c r="AH48" s="21"/>
      <c r="AI48" s="22"/>
      <c r="AJ48" s="22"/>
      <c r="AK48" s="21"/>
      <c r="AL48" s="21"/>
      <c r="AM48" s="25"/>
      <c r="AN48" s="22"/>
      <c r="AO48" s="22"/>
      <c r="AP48" s="22"/>
      <c r="AQ48" s="22"/>
      <c r="AR48" s="21"/>
      <c r="AS48" s="21"/>
      <c r="AT48" s="21"/>
      <c r="AU48" s="21"/>
      <c r="AV48" s="21"/>
      <c r="AW48" s="21"/>
      <c r="AX48" s="21"/>
      <c r="AY48" s="21"/>
    </row>
    <row r="49" spans="1:51" x14ac:dyDescent="0.25">
      <c r="A49" s="21"/>
      <c r="B49" s="24"/>
      <c r="C49" s="35"/>
      <c r="D49" s="35"/>
      <c r="E49" s="36"/>
      <c r="F49" s="36"/>
      <c r="G49" s="36"/>
      <c r="H49" s="37"/>
      <c r="I49" s="21"/>
      <c r="J49" s="21"/>
      <c r="K49" s="21"/>
      <c r="L49" s="21"/>
      <c r="M49" s="21"/>
      <c r="N49" s="21"/>
      <c r="O49" s="24"/>
      <c r="P49" s="24"/>
      <c r="Q49" s="24"/>
      <c r="R49" s="38"/>
      <c r="S49" s="38"/>
      <c r="T49" s="38"/>
      <c r="U49" s="38"/>
      <c r="V49" s="38"/>
      <c r="W49" s="21"/>
      <c r="X49" s="38"/>
      <c r="Y49" s="25"/>
      <c r="Z49" s="39"/>
      <c r="AA49" s="39"/>
      <c r="AB49" s="21"/>
      <c r="AC49" s="21"/>
      <c r="AD49" s="21"/>
      <c r="AE49" s="21"/>
      <c r="AF49" s="21"/>
      <c r="AG49" s="21"/>
      <c r="AH49" s="21"/>
      <c r="AI49" s="22"/>
      <c r="AJ49" s="22"/>
      <c r="AK49" s="21"/>
      <c r="AL49" s="21"/>
      <c r="AM49" s="25"/>
      <c r="AN49" s="22"/>
      <c r="AO49" s="22"/>
      <c r="AP49" s="22"/>
      <c r="AQ49" s="22"/>
      <c r="AR49" s="21"/>
      <c r="AS49" s="21"/>
      <c r="AT49" s="21"/>
      <c r="AU49" s="21"/>
      <c r="AV49" s="21"/>
      <c r="AW49" s="21"/>
      <c r="AX49" s="21"/>
      <c r="AY49" s="21"/>
    </row>
    <row r="50" spans="1:51" x14ac:dyDescent="0.25">
      <c r="A50" s="21"/>
      <c r="B50" s="24"/>
      <c r="C50" s="35"/>
      <c r="D50" s="35"/>
      <c r="E50" s="36"/>
      <c r="F50" s="36"/>
      <c r="G50" s="36"/>
      <c r="H50" s="37"/>
      <c r="I50" s="21"/>
      <c r="J50" s="21"/>
      <c r="K50" s="21"/>
      <c r="L50" s="21"/>
      <c r="M50" s="21"/>
      <c r="N50" s="21"/>
      <c r="O50" s="24"/>
      <c r="P50" s="24"/>
      <c r="Q50" s="24"/>
      <c r="R50" s="38"/>
      <c r="S50" s="38"/>
      <c r="T50" s="38"/>
      <c r="U50" s="38"/>
      <c r="V50" s="38"/>
      <c r="W50" s="21"/>
      <c r="X50" s="38"/>
      <c r="Y50" s="25"/>
      <c r="Z50" s="39"/>
      <c r="AA50" s="39"/>
      <c r="AB50" s="21"/>
      <c r="AC50" s="21"/>
      <c r="AD50" s="21"/>
      <c r="AE50" s="21"/>
      <c r="AF50" s="21"/>
      <c r="AG50" s="21"/>
      <c r="AH50" s="21"/>
      <c r="AI50" s="22"/>
      <c r="AJ50" s="22"/>
      <c r="AK50" s="21"/>
      <c r="AL50" s="21"/>
      <c r="AM50" s="25"/>
      <c r="AN50" s="22"/>
      <c r="AO50" s="22"/>
      <c r="AP50" s="22"/>
      <c r="AQ50" s="22"/>
      <c r="AR50" s="21"/>
      <c r="AS50" s="21"/>
      <c r="AT50" s="21"/>
      <c r="AU50" s="21"/>
      <c r="AV50" s="21"/>
      <c r="AW50" s="21"/>
      <c r="AX50" s="21"/>
      <c r="AY50" s="21"/>
    </row>
    <row r="51" spans="1:51" x14ac:dyDescent="0.25">
      <c r="A51" s="21"/>
      <c r="B51" s="24"/>
      <c r="C51" s="35"/>
      <c r="D51" s="35"/>
      <c r="E51" s="36"/>
      <c r="F51" s="36"/>
      <c r="G51" s="36"/>
      <c r="H51" s="37"/>
      <c r="I51" s="21"/>
      <c r="J51" s="21"/>
      <c r="K51" s="21"/>
      <c r="L51" s="21"/>
      <c r="M51" s="21"/>
      <c r="N51" s="21"/>
      <c r="O51" s="24"/>
      <c r="P51" s="24"/>
      <c r="Q51" s="24"/>
      <c r="R51" s="38"/>
      <c r="S51" s="38"/>
      <c r="T51" s="38"/>
      <c r="U51" s="38"/>
      <c r="V51" s="38"/>
      <c r="W51" s="21"/>
      <c r="X51" s="38"/>
      <c r="Y51" s="25"/>
      <c r="Z51" s="39"/>
      <c r="AA51" s="39"/>
      <c r="AB51" s="21"/>
      <c r="AC51" s="21"/>
      <c r="AD51" s="21"/>
      <c r="AE51" s="21"/>
      <c r="AF51" s="21"/>
      <c r="AG51" s="21"/>
      <c r="AH51" s="21"/>
      <c r="AI51" s="22"/>
      <c r="AJ51" s="22"/>
      <c r="AK51" s="21"/>
      <c r="AL51" s="21"/>
      <c r="AM51" s="21"/>
      <c r="AN51" s="22"/>
      <c r="AO51" s="22"/>
      <c r="AP51" s="22"/>
      <c r="AQ51" s="22"/>
      <c r="AR51" s="21"/>
      <c r="AS51" s="21"/>
      <c r="AT51" s="21"/>
      <c r="AU51" s="21"/>
      <c r="AV51" s="21"/>
      <c r="AW51" s="21"/>
      <c r="AX51" s="21"/>
      <c r="AY51" s="21"/>
    </row>
    <row r="52" spans="1:51" x14ac:dyDescent="0.25">
      <c r="A52" s="21"/>
      <c r="B52" s="24"/>
      <c r="C52" s="35"/>
      <c r="D52" s="35"/>
      <c r="E52" s="36"/>
      <c r="F52" s="36"/>
      <c r="G52" s="36"/>
      <c r="H52" s="37"/>
      <c r="I52" s="21"/>
      <c r="J52" s="21"/>
      <c r="K52" s="21"/>
      <c r="L52" s="21"/>
      <c r="M52" s="21"/>
      <c r="N52" s="21"/>
      <c r="O52" s="24"/>
      <c r="P52" s="24"/>
      <c r="Q52" s="24"/>
      <c r="R52" s="38"/>
      <c r="S52" s="38"/>
      <c r="T52" s="38"/>
      <c r="U52" s="38"/>
      <c r="V52" s="38"/>
      <c r="W52" s="21"/>
      <c r="X52" s="38"/>
      <c r="Y52" s="25"/>
      <c r="Z52" s="39"/>
      <c r="AA52" s="39"/>
      <c r="AB52" s="21"/>
      <c r="AC52" s="21"/>
      <c r="AD52" s="21"/>
      <c r="AE52" s="21"/>
      <c r="AF52" s="21"/>
      <c r="AG52" s="21"/>
      <c r="AH52" s="21"/>
      <c r="AI52" s="22"/>
      <c r="AJ52" s="22"/>
      <c r="AK52" s="21"/>
      <c r="AL52" s="21"/>
      <c r="AM52" s="25"/>
      <c r="AN52" s="22"/>
      <c r="AO52" s="22"/>
      <c r="AP52" s="22"/>
      <c r="AQ52" s="22"/>
      <c r="AR52" s="21"/>
      <c r="AS52" s="21"/>
      <c r="AT52" s="21"/>
      <c r="AU52" s="21"/>
      <c r="AV52" s="21"/>
      <c r="AW52" s="21"/>
      <c r="AX52" s="21"/>
      <c r="AY52" s="21"/>
    </row>
    <row r="53" spans="1:51" x14ac:dyDescent="0.25">
      <c r="A53" s="21"/>
      <c r="B53" s="24"/>
      <c r="C53" s="35"/>
      <c r="D53" s="35"/>
      <c r="E53" s="36"/>
      <c r="F53" s="36"/>
      <c r="G53" s="36"/>
      <c r="H53" s="37"/>
      <c r="I53" s="21"/>
      <c r="J53" s="21"/>
      <c r="K53" s="21"/>
      <c r="L53" s="21"/>
      <c r="M53" s="21"/>
      <c r="N53" s="21"/>
      <c r="O53" s="24"/>
      <c r="P53" s="24"/>
      <c r="Q53" s="24"/>
      <c r="R53" s="38"/>
      <c r="S53" s="38"/>
      <c r="T53" s="38"/>
      <c r="U53" s="38"/>
      <c r="V53" s="38"/>
      <c r="W53" s="21"/>
      <c r="X53" s="38"/>
      <c r="Y53" s="25"/>
      <c r="Z53" s="39"/>
      <c r="AA53" s="39"/>
      <c r="AB53" s="21"/>
      <c r="AC53" s="21"/>
      <c r="AD53" s="21"/>
      <c r="AE53" s="21"/>
      <c r="AF53" s="21"/>
      <c r="AG53" s="21"/>
      <c r="AH53" s="21"/>
      <c r="AI53" s="22"/>
      <c r="AJ53" s="22"/>
      <c r="AK53" s="21"/>
      <c r="AL53" s="21"/>
      <c r="AM53" s="21"/>
      <c r="AN53" s="22"/>
      <c r="AO53" s="22"/>
      <c r="AP53" s="22"/>
      <c r="AQ53" s="22"/>
      <c r="AR53" s="21"/>
      <c r="AS53" s="21"/>
      <c r="AT53" s="21"/>
      <c r="AU53" s="21"/>
      <c r="AV53" s="21"/>
      <c r="AW53" s="21"/>
      <c r="AX53" s="21"/>
      <c r="AY53" s="21"/>
    </row>
    <row r="54" spans="1:51" x14ac:dyDescent="0.25">
      <c r="A54" s="21"/>
      <c r="B54" s="24"/>
      <c r="C54" s="35"/>
      <c r="D54" s="35"/>
      <c r="E54" s="36"/>
      <c r="F54" s="36"/>
      <c r="G54" s="36"/>
      <c r="H54" s="37"/>
      <c r="I54" s="21"/>
      <c r="J54" s="21"/>
      <c r="K54" s="21"/>
      <c r="L54" s="21"/>
      <c r="M54" s="21"/>
      <c r="N54" s="21"/>
      <c r="O54" s="24"/>
      <c r="P54" s="24"/>
      <c r="Q54" s="24"/>
      <c r="R54" s="38"/>
      <c r="S54" s="38"/>
      <c r="T54" s="38"/>
      <c r="U54" s="38"/>
      <c r="V54" s="38"/>
      <c r="W54" s="21"/>
      <c r="X54" s="38"/>
      <c r="Y54" s="25"/>
      <c r="Z54" s="39"/>
      <c r="AA54" s="39"/>
      <c r="AB54" s="21"/>
      <c r="AC54" s="21"/>
      <c r="AD54" s="21"/>
      <c r="AE54" s="21"/>
      <c r="AF54" s="21"/>
      <c r="AG54" s="21"/>
      <c r="AH54" s="21"/>
      <c r="AI54" s="22"/>
      <c r="AJ54" s="22"/>
      <c r="AK54" s="21"/>
      <c r="AL54" s="21"/>
      <c r="AM54" s="25"/>
      <c r="AN54" s="22"/>
      <c r="AO54" s="22"/>
      <c r="AP54" s="22"/>
      <c r="AQ54" s="22"/>
      <c r="AR54" s="21"/>
      <c r="AS54" s="21"/>
      <c r="AT54" s="21"/>
      <c r="AU54" s="21"/>
      <c r="AV54" s="21"/>
      <c r="AW54" s="21"/>
      <c r="AX54" s="21"/>
      <c r="AY54" s="21"/>
    </row>
    <row r="55" spans="1:51" x14ac:dyDescent="0.25">
      <c r="A55" s="21"/>
      <c r="B55" s="24"/>
      <c r="C55" s="35"/>
      <c r="D55" s="35"/>
      <c r="E55" s="36"/>
      <c r="F55" s="36"/>
      <c r="G55" s="36"/>
      <c r="H55" s="37"/>
      <c r="I55" s="21"/>
      <c r="J55" s="21"/>
      <c r="K55" s="21"/>
      <c r="L55" s="21"/>
      <c r="M55" s="21"/>
      <c r="N55" s="21"/>
      <c r="O55" s="24"/>
      <c r="P55" s="24"/>
      <c r="Q55" s="24"/>
      <c r="R55" s="38"/>
      <c r="S55" s="38"/>
      <c r="T55" s="38"/>
      <c r="U55" s="38"/>
      <c r="V55" s="38"/>
      <c r="W55" s="21"/>
      <c r="X55" s="38"/>
      <c r="Y55" s="25"/>
      <c r="Z55" s="39"/>
      <c r="AA55" s="39"/>
      <c r="AB55" s="21"/>
      <c r="AC55" s="21"/>
      <c r="AD55" s="21"/>
      <c r="AE55" s="21"/>
      <c r="AF55" s="21"/>
      <c r="AG55" s="21"/>
      <c r="AH55" s="21"/>
      <c r="AI55" s="24"/>
      <c r="AJ55" s="24"/>
      <c r="AK55" s="21"/>
      <c r="AL55" s="21"/>
      <c r="AM55" s="21"/>
      <c r="AN55" s="24"/>
      <c r="AO55" s="24"/>
      <c r="AP55" s="24"/>
      <c r="AQ55" s="24"/>
      <c r="AR55" s="21"/>
      <c r="AS55" s="21"/>
      <c r="AT55" s="21"/>
      <c r="AU55" s="21"/>
      <c r="AV55" s="21"/>
      <c r="AW55" s="21"/>
      <c r="AX55" s="21"/>
      <c r="AY55" s="21"/>
    </row>
    <row r="56" spans="1:51" x14ac:dyDescent="0.25">
      <c r="A56" s="21"/>
      <c r="B56" s="24"/>
      <c r="C56" s="35"/>
      <c r="D56" s="35"/>
      <c r="E56" s="36"/>
      <c r="F56" s="36"/>
      <c r="G56" s="36"/>
      <c r="H56" s="37"/>
      <c r="I56" s="21"/>
      <c r="J56" s="21"/>
      <c r="K56" s="21"/>
      <c r="L56" s="21"/>
      <c r="M56" s="21"/>
      <c r="N56" s="21"/>
      <c r="O56" s="24"/>
      <c r="P56" s="24"/>
      <c r="Q56" s="24"/>
      <c r="R56" s="38"/>
      <c r="S56" s="38"/>
      <c r="T56" s="21"/>
      <c r="U56" s="21"/>
      <c r="V56" s="21"/>
      <c r="W56" s="21"/>
      <c r="X56" s="21"/>
      <c r="Y56" s="21"/>
      <c r="Z56" s="39"/>
      <c r="AA56" s="39"/>
      <c r="AB56" s="21"/>
      <c r="AC56" s="21"/>
      <c r="AD56" s="21"/>
      <c r="AE56" s="21"/>
      <c r="AF56" s="21"/>
      <c r="AG56" s="21"/>
      <c r="AH56" s="21"/>
      <c r="AI56" s="24"/>
      <c r="AJ56" s="24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</row>
    <row r="57" spans="1:51" x14ac:dyDescent="0.25">
      <c r="A57" s="21"/>
      <c r="B57" s="24"/>
      <c r="C57" s="35"/>
      <c r="D57" s="35"/>
      <c r="E57" s="36"/>
      <c r="F57" s="36"/>
      <c r="G57" s="36"/>
      <c r="H57" s="37"/>
      <c r="I57" s="21"/>
      <c r="J57" s="21"/>
      <c r="K57" s="21"/>
      <c r="L57" s="21"/>
      <c r="M57" s="21"/>
      <c r="N57" s="21"/>
      <c r="O57" s="24"/>
      <c r="P57" s="24"/>
      <c r="Q57" s="24"/>
      <c r="R57" s="38"/>
      <c r="S57" s="38"/>
      <c r="T57" s="21"/>
      <c r="U57" s="21"/>
      <c r="V57" s="21"/>
      <c r="W57" s="21"/>
      <c r="X57" s="21"/>
      <c r="Y57" s="21"/>
      <c r="Z57" s="39"/>
      <c r="AA57" s="39"/>
      <c r="AB57" s="21"/>
      <c r="AC57" s="21"/>
      <c r="AD57" s="21"/>
      <c r="AE57" s="21"/>
      <c r="AF57" s="21"/>
      <c r="AG57" s="21"/>
      <c r="AH57" s="21"/>
      <c r="AI57" s="24"/>
      <c r="AJ57" s="24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</row>
    <row r="58" spans="1:51" x14ac:dyDescent="0.25">
      <c r="A58" s="21"/>
      <c r="B58" s="24"/>
      <c r="C58" s="35"/>
      <c r="D58" s="35"/>
      <c r="E58" s="36"/>
      <c r="F58" s="36"/>
      <c r="G58" s="36"/>
      <c r="H58" s="37"/>
      <c r="I58" s="21"/>
      <c r="J58" s="21"/>
      <c r="K58" s="21"/>
      <c r="L58" s="21"/>
      <c r="M58" s="21"/>
      <c r="N58" s="21"/>
      <c r="O58" s="24"/>
      <c r="P58" s="24"/>
      <c r="Q58" s="24"/>
      <c r="R58" s="38"/>
      <c r="S58" s="38"/>
      <c r="T58" s="21"/>
      <c r="U58" s="21"/>
      <c r="V58" s="21"/>
      <c r="W58" s="21"/>
      <c r="X58" s="21"/>
      <c r="Y58" s="21"/>
      <c r="Z58" s="39"/>
      <c r="AA58" s="39"/>
      <c r="AB58" s="21"/>
      <c r="AC58" s="21"/>
      <c r="AD58" s="21"/>
      <c r="AE58" s="21"/>
      <c r="AF58" s="21"/>
      <c r="AG58" s="21"/>
      <c r="AH58" s="21"/>
      <c r="AI58" s="24"/>
      <c r="AJ58" s="24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</row>
    <row r="59" spans="1:51" x14ac:dyDescent="0.25">
      <c r="A59" s="21"/>
      <c r="B59" s="24"/>
      <c r="C59" s="35"/>
      <c r="D59" s="35"/>
      <c r="E59" s="36"/>
      <c r="F59" s="36"/>
      <c r="G59" s="36"/>
      <c r="H59" s="37"/>
      <c r="I59" s="21"/>
      <c r="J59" s="21"/>
      <c r="K59" s="21"/>
      <c r="L59" s="21"/>
      <c r="M59" s="21"/>
      <c r="N59" s="21"/>
      <c r="O59" s="24"/>
      <c r="P59" s="24"/>
      <c r="Q59" s="24"/>
      <c r="R59" s="38"/>
      <c r="S59" s="38"/>
      <c r="T59" s="21"/>
      <c r="U59" s="21"/>
      <c r="V59" s="21"/>
      <c r="W59" s="21"/>
      <c r="X59" s="21"/>
      <c r="Y59" s="21"/>
      <c r="Z59" s="39"/>
      <c r="AA59" s="39"/>
      <c r="AB59" s="21"/>
      <c r="AC59" s="21"/>
      <c r="AD59" s="21"/>
      <c r="AE59" s="21"/>
      <c r="AF59" s="21"/>
      <c r="AG59" s="21"/>
      <c r="AH59" s="21"/>
      <c r="AI59" s="24"/>
      <c r="AJ59" s="24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</row>
    <row r="60" spans="1:51" x14ac:dyDescent="0.25">
      <c r="A60" s="21"/>
      <c r="B60" s="24"/>
      <c r="C60" s="35"/>
      <c r="D60" s="35"/>
      <c r="E60" s="36"/>
      <c r="F60" s="36"/>
      <c r="G60" s="36"/>
      <c r="H60" s="37"/>
      <c r="I60" s="21"/>
      <c r="J60" s="21"/>
      <c r="K60" s="21"/>
      <c r="L60" s="21"/>
      <c r="M60" s="21"/>
      <c r="N60" s="21"/>
      <c r="O60" s="24"/>
      <c r="P60" s="24"/>
      <c r="Q60" s="24"/>
      <c r="R60" s="38"/>
      <c r="S60" s="38"/>
      <c r="T60" s="21"/>
      <c r="U60" s="21"/>
      <c r="V60" s="21"/>
      <c r="W60" s="21"/>
      <c r="X60" s="21"/>
      <c r="Y60" s="21"/>
      <c r="Z60" s="39"/>
      <c r="AA60" s="39"/>
      <c r="AB60" s="21"/>
      <c r="AC60" s="21"/>
      <c r="AD60" s="21"/>
      <c r="AE60" s="21"/>
      <c r="AF60" s="21"/>
      <c r="AG60" s="21"/>
      <c r="AH60" s="21"/>
      <c r="AI60" s="24"/>
      <c r="AJ60" s="24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</row>
    <row r="61" spans="1:51" x14ac:dyDescent="0.25">
      <c r="A61" s="21"/>
      <c r="B61" s="21"/>
      <c r="C61" s="21"/>
      <c r="D61" s="21"/>
      <c r="E61" s="22"/>
      <c r="F61" s="22"/>
      <c r="G61" s="22"/>
      <c r="H61" s="23"/>
      <c r="I61" s="21"/>
      <c r="J61" s="21"/>
      <c r="K61" s="21"/>
      <c r="L61" s="21"/>
      <c r="M61" s="21"/>
      <c r="N61" s="21"/>
      <c r="O61" s="24"/>
      <c r="P61" s="24"/>
      <c r="Q61" s="24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</row>
    <row r="62" spans="1:51" x14ac:dyDescent="0.25">
      <c r="A62" s="21"/>
      <c r="B62" s="21"/>
      <c r="C62" s="21"/>
      <c r="D62" s="21"/>
      <c r="E62" s="22"/>
      <c r="F62" s="22"/>
      <c r="G62" s="22"/>
      <c r="H62" s="23"/>
      <c r="I62" s="21"/>
      <c r="J62" s="21"/>
      <c r="K62" s="21"/>
      <c r="L62" s="21"/>
      <c r="M62" s="21"/>
      <c r="N62" s="21"/>
      <c r="O62" s="24"/>
      <c r="P62" s="24"/>
      <c r="Q62" s="24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</row>
    <row r="63" spans="1:51" x14ac:dyDescent="0.25">
      <c r="A63" s="21"/>
      <c r="B63" s="21"/>
      <c r="C63" s="21"/>
      <c r="D63" s="21"/>
      <c r="E63" s="22"/>
      <c r="F63" s="22"/>
      <c r="G63" s="22"/>
      <c r="H63" s="23"/>
      <c r="I63" s="21"/>
      <c r="J63" s="21"/>
      <c r="K63" s="21"/>
      <c r="L63" s="21"/>
      <c r="M63" s="21"/>
      <c r="N63" s="21"/>
      <c r="O63" s="24"/>
      <c r="P63" s="24"/>
      <c r="Q63" s="24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</row>
  </sheetData>
  <mergeCells count="13">
    <mergeCell ref="O2:O3"/>
    <mergeCell ref="P2:P3"/>
    <mergeCell ref="A4:A21"/>
    <mergeCell ref="B1:G1"/>
    <mergeCell ref="H1:I1"/>
    <mergeCell ref="J1:M1"/>
    <mergeCell ref="N1:T1"/>
    <mergeCell ref="B2:B3"/>
    <mergeCell ref="C2:C3"/>
    <mergeCell ref="H2:H3"/>
    <mergeCell ref="J2:J3"/>
    <mergeCell ref="K2:K3"/>
    <mergeCell ref="N2:N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Instructions</vt:lpstr>
      <vt:lpstr>Analysis</vt:lpstr>
      <vt:lpstr>Materials</vt:lpstr>
      <vt:lpstr>Mat_Macro</vt:lpstr>
      <vt:lpstr>Bush&amp;Pin_Data</vt:lpstr>
      <vt:lpstr>Material_list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ramon sanchez moreno</dc:creator>
  <cp:lastModifiedBy>Lucas Bernacer Soriano</cp:lastModifiedBy>
  <dcterms:created xsi:type="dcterms:W3CDTF">2014-01-24T12:34:25Z</dcterms:created>
  <dcterms:modified xsi:type="dcterms:W3CDTF">2021-04-14T05:13:53Z</dcterms:modified>
</cp:coreProperties>
</file>