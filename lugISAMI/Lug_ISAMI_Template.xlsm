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lucas.bernacer\PycharmProjects\LugISAMI\lugISAMI\"/>
    </mc:Choice>
  </mc:AlternateContent>
  <bookViews>
    <workbookView xWindow="0" yWindow="0" windowWidth="28800" windowHeight="12300" activeTab="1"/>
  </bookViews>
  <sheets>
    <sheet name="Instructions" sheetId="6" r:id="rId1"/>
    <sheet name="Analysis" sheetId="1" r:id="rId2"/>
    <sheet name="Materials" sheetId="2" r:id="rId3"/>
    <sheet name="Mat_Macro" sheetId="7" state="hidden" r:id="rId4"/>
    <sheet name="Material Library" sheetId="9" r:id="rId5"/>
    <sheet name="Bush&amp;Pin_Data" sheetId="5" r:id="rId6"/>
  </sheets>
  <externalReferences>
    <externalReference r:id="rId7"/>
    <externalReference r:id="rId8"/>
    <externalReference r:id="rId9"/>
    <externalReference r:id="rId10"/>
  </externalReferences>
  <definedNames>
    <definedName name="_xlnm._FilterDatabase" localSheetId="4" hidden="1">'Material Library'!$A$3:$E$169</definedName>
    <definedName name="BEARING_DATA">[1]Standards!$W$4:$AA$12</definedName>
    <definedName name="BUSHING_DATA">[1]Standards!$O$4:$V$12</definedName>
    <definedName name="Compression_LC">[1]Forces_Inputs!$H:$H</definedName>
    <definedName name="Compression_Load_UL">[1]Forces_Inputs!$G:$G</definedName>
    <definedName name="FastenerData">'[2]02_HardwareInfo'!$B$4:$F$18</definedName>
    <definedName name="FastenerEncabezado">'[2]02_HardwareInfo'!$B$3:$F$3</definedName>
    <definedName name="FastenerStandard">'[2]02_HardwareInfo'!$B$4:$B$18</definedName>
    <definedName name="IB_Mat_Name">[1]ISAMI_INPUT!$C$28</definedName>
    <definedName name="ID">[3]Sizing!$B$1:$B$65536</definedName>
    <definedName name="IL_MAT_NAME">[1]ISAMI_INPUT!$C$5</definedName>
    <definedName name="IL_Ro">[1]ISAMI_INPUT!$C$14</definedName>
    <definedName name="Material_list" localSheetId="4">[4]Mat_Macro!$E$3:$E$17</definedName>
    <definedName name="Material_list">Mat_Macro!$E$3:$E$17</definedName>
    <definedName name="OB_Mat_Name">[1]ISAMI_INPUT!$D$28</definedName>
    <definedName name="OL_Mat_Name">[1]ISAMI_INPUT!$D$5</definedName>
    <definedName name="Pin_Mat_Name">[1]ISAMI_INPUT!$C$19</definedName>
    <definedName name="Pin_Standard">[1]Standards!$H$4:$H$12</definedName>
    <definedName name="PINDATA">[1]Standards!$H$3:$N$12</definedName>
    <definedName name="PinLugData">'[2]02_HardwareInfo'!$H$4:$AA$18</definedName>
    <definedName name="PinLugEncabezado">'[2]02_HardwareInfo'!$H$3:$AA$3</definedName>
    <definedName name="PinStandard">'[2]02_HardwareInfo'!$H$4:$H$18</definedName>
    <definedName name="Pretension_Load_UL">[1]Forces_Inputs!$I:$I</definedName>
    <definedName name="Tension_LC">[1]Forces_Inputs!$E:$E</definedName>
    <definedName name="Tension_Load_UL">[1]Forces_Inputs!$D:$D</definedName>
  </definedNames>
  <calcPr calcId="162913"/>
</workbook>
</file>

<file path=xl/calcChain.xml><?xml version="1.0" encoding="utf-8"?>
<calcChain xmlns="http://schemas.openxmlformats.org/spreadsheetml/2006/main">
  <c r="S4" i="1" l="1"/>
  <c r="D9" i="7" l="1"/>
  <c r="D10" i="7"/>
  <c r="D11" i="7"/>
  <c r="D13" i="7"/>
  <c r="D14" i="7"/>
  <c r="D15" i="7"/>
  <c r="D16" i="7"/>
  <c r="D17" i="7"/>
  <c r="D3" i="7"/>
  <c r="C4" i="7"/>
  <c r="D4" i="7" s="1"/>
  <c r="C5" i="7"/>
  <c r="D5" i="7" s="1"/>
  <c r="C6" i="7"/>
  <c r="D6" i="7" s="1"/>
  <c r="C7" i="7"/>
  <c r="D7" i="7" s="1"/>
  <c r="C8" i="7"/>
  <c r="D8" i="7" s="1"/>
  <c r="C9" i="7"/>
  <c r="C10" i="7"/>
  <c r="C11" i="7"/>
  <c r="C12" i="7"/>
  <c r="D12" i="7" s="1"/>
  <c r="C13" i="7"/>
  <c r="C14" i="7"/>
  <c r="C15" i="7"/>
  <c r="C16" i="7"/>
  <c r="C17" i="7"/>
  <c r="C3" i="7"/>
  <c r="E8" i="7" l="1"/>
  <c r="E9" i="7"/>
  <c r="E11" i="7"/>
  <c r="E12" i="7"/>
  <c r="E14" i="7"/>
  <c r="E10" i="7"/>
  <c r="E13" i="7"/>
  <c r="E15" i="7"/>
  <c r="E4" i="7"/>
  <c r="E16" i="7"/>
  <c r="E5" i="7"/>
  <c r="E17" i="7"/>
  <c r="E6" i="7"/>
  <c r="E3" i="7"/>
  <c r="E7" i="7"/>
  <c r="T4" i="1"/>
  <c r="Q4" i="1"/>
  <c r="P4" i="1"/>
</calcChain>
</file>

<file path=xl/comments1.xml><?xml version="1.0" encoding="utf-8"?>
<comments xmlns="http://schemas.openxmlformats.org/spreadsheetml/2006/main">
  <authors>
    <author>Gema Noemí Gil García</author>
  </authors>
  <commentList>
    <comment ref="AE46" authorId="0" shapeId="0">
      <text>
        <r>
          <rPr>
            <b/>
            <sz val="8"/>
            <color indexed="81"/>
            <rFont val="Tahoma"/>
            <family val="2"/>
          </rPr>
          <t>Gema Noemí Gil García:</t>
        </r>
        <r>
          <rPr>
            <sz val="8"/>
            <color indexed="81"/>
            <rFont val="Tahoma"/>
            <family val="2"/>
          </rPr>
          <t xml:space="preserve">
según norma EN6046 va de 0.13 a 0.38 y cogemos lo peor que es la mayor separacion</t>
        </r>
      </text>
    </comment>
  </commentList>
</comments>
</file>

<file path=xl/sharedStrings.xml><?xml version="1.0" encoding="utf-8"?>
<sst xmlns="http://schemas.openxmlformats.org/spreadsheetml/2006/main" count="935" uniqueCount="466">
  <si>
    <t>D</t>
  </si>
  <si>
    <t>Pin</t>
  </si>
  <si>
    <t>Material</t>
  </si>
  <si>
    <t>Bush</t>
  </si>
  <si>
    <t>Location</t>
  </si>
  <si>
    <t>Type</t>
  </si>
  <si>
    <t>W(mm)</t>
  </si>
  <si>
    <t>L(mm)</t>
  </si>
  <si>
    <t>T1(mm)</t>
  </si>
  <si>
    <t>T2(mm)</t>
  </si>
  <si>
    <t>X_offset(mm)</t>
  </si>
  <si>
    <t>Sup.Angle(º)</t>
  </si>
  <si>
    <t>Inf.Angle (º)</t>
  </si>
  <si>
    <t>D_pin</t>
  </si>
  <si>
    <t xml:space="preserve">Lug </t>
  </si>
  <si>
    <t>Y_offset(mm)</t>
  </si>
  <si>
    <t>R</t>
  </si>
  <si>
    <t>Load(N)</t>
  </si>
  <si>
    <t>Angle(º)</t>
  </si>
  <si>
    <t>Materials</t>
  </si>
  <si>
    <t>Name</t>
  </si>
  <si>
    <t>ISAMI Name</t>
  </si>
  <si>
    <t>CODE</t>
  </si>
  <si>
    <t>User/Referenced</t>
  </si>
  <si>
    <t>D_bush</t>
  </si>
  <si>
    <t>Standar</t>
  </si>
  <si>
    <t>PIN DATA</t>
  </si>
  <si>
    <t>NUT DATA</t>
  </si>
  <si>
    <t>BUSH DATA</t>
  </si>
  <si>
    <t>BEARING DATA</t>
  </si>
  <si>
    <t>Standard nomenclature</t>
  </si>
  <si>
    <t>Pin Standard</t>
  </si>
  <si>
    <t>ISAMI
Material</t>
  </si>
  <si>
    <t>Thread Size</t>
  </si>
  <si>
    <t>E</t>
  </si>
  <si>
    <t>H</t>
  </si>
  <si>
    <t>-----</t>
  </si>
  <si>
    <t>Nut Standard</t>
  </si>
  <si>
    <t>L</t>
  </si>
  <si>
    <t>Bush Standard</t>
  </si>
  <si>
    <t>B</t>
  </si>
  <si>
    <t>C</t>
  </si>
  <si>
    <t>Bearing Standard</t>
  </si>
  <si>
    <t>ISAMI
Cage Material</t>
  </si>
  <si>
    <t>ISAMI
Ball Material</t>
  </si>
  <si>
    <t>d2</t>
  </si>
  <si>
    <t>r2</t>
  </si>
  <si>
    <t>ISAMI nomenclature</t>
  </si>
  <si>
    <t>DA</t>
  </si>
  <si>
    <t>DEE</t>
  </si>
  <si>
    <t>EPTV</t>
  </si>
  <si>
    <t>DIA</t>
  </si>
  <si>
    <t>EPEC</t>
  </si>
  <si>
    <t>DAL</t>
  </si>
  <si>
    <t>DEBE</t>
  </si>
  <si>
    <t>DIML</t>
  </si>
  <si>
    <t>DR</t>
  </si>
  <si>
    <t>LR</t>
  </si>
  <si>
    <t>EPCR</t>
  </si>
  <si>
    <t>ABS0114-3</t>
  </si>
  <si>
    <t>NSA5060E3</t>
  </si>
  <si>
    <t>NAS77-3</t>
  </si>
  <si>
    <t>EN6046-03</t>
  </si>
  <si>
    <t>15-5PH</t>
  </si>
  <si>
    <t>Marval X12</t>
  </si>
  <si>
    <t>ABS0114-4</t>
  </si>
  <si>
    <t>NSA5060E4</t>
  </si>
  <si>
    <t>NAS77-4</t>
  </si>
  <si>
    <t>EN6046-04</t>
  </si>
  <si>
    <t>ABS0114-5</t>
  </si>
  <si>
    <t>NSA5060E5</t>
  </si>
  <si>
    <t>NAS77-5</t>
  </si>
  <si>
    <t>EN6046-05</t>
  </si>
  <si>
    <t>ABS0114-6</t>
  </si>
  <si>
    <t>NSA5060E6</t>
  </si>
  <si>
    <t>NAS77-6</t>
  </si>
  <si>
    <t>EN6046-06</t>
  </si>
  <si>
    <t>ABS0114-7</t>
  </si>
  <si>
    <t>NSA5060E7</t>
  </si>
  <si>
    <t>NAS77-7</t>
  </si>
  <si>
    <t>EN6046-07</t>
  </si>
  <si>
    <t>ABS0114-8</t>
  </si>
  <si>
    <t>NSA5060E8</t>
  </si>
  <si>
    <t>NAS77-8</t>
  </si>
  <si>
    <t>EN6046-08</t>
  </si>
  <si>
    <t>ABS0114-9</t>
  </si>
  <si>
    <t>NSA5060E9</t>
  </si>
  <si>
    <t>NAS77-9</t>
  </si>
  <si>
    <t>EN6046-09</t>
  </si>
  <si>
    <t>ABS0114-10</t>
  </si>
  <si>
    <t>NSA5060E10</t>
  </si>
  <si>
    <t>NAS77-10</t>
  </si>
  <si>
    <t>EN6046-10</t>
  </si>
  <si>
    <t>ABS0114-12</t>
  </si>
  <si>
    <t>NSA5060E12</t>
  </si>
  <si>
    <t>NAS77-12</t>
  </si>
  <si>
    <t>EN6046-12</t>
  </si>
  <si>
    <t>V5338394020400</t>
  </si>
  <si>
    <t>V5338394022000</t>
  </si>
  <si>
    <t>NSA5059E5</t>
  </si>
  <si>
    <t>V5338394022400</t>
  </si>
  <si>
    <t>NSA5378-6</t>
  </si>
  <si>
    <t>NSA5059E6</t>
  </si>
  <si>
    <t>V5338694321400</t>
  </si>
  <si>
    <t>V5338694321200</t>
  </si>
  <si>
    <t>NSA5059E8</t>
  </si>
  <si>
    <t>ASNA0094-6</t>
  </si>
  <si>
    <t>SINGLE SHEAR</t>
  </si>
  <si>
    <t>Orientation</t>
  </si>
  <si>
    <t>LT</t>
  </si>
  <si>
    <t>Configuration</t>
  </si>
  <si>
    <t>Configuration:AFI/thickness:50-200</t>
  </si>
  <si>
    <t>Configuration:AFI/thickness:6-100</t>
  </si>
  <si>
    <t>-</t>
  </si>
  <si>
    <t>Ti-6Al-4V</t>
  </si>
  <si>
    <t>Cres-A286</t>
  </si>
  <si>
    <t>EXTERNAL DOUBLE SHEAR</t>
  </si>
  <si>
    <t>Al-7050-T7451</t>
  </si>
  <si>
    <t>Al-7175-T7351</t>
  </si>
  <si>
    <t>/LugResultantForce</t>
  </si>
  <si>
    <t>/LugResultantAngle</t>
  </si>
  <si>
    <t>/LoadingRatio</t>
  </si>
  <si>
    <t>/Width</t>
  </si>
  <si>
    <t>/Length</t>
  </si>
  <si>
    <t>/Thick</t>
  </si>
  <si>
    <t>/ThickUnstudied</t>
  </si>
  <si>
    <t>/PinOffsetX</t>
  </si>
  <si>
    <t>/PinOffsetY</t>
  </si>
  <si>
    <t>/SuperiorAngle</t>
  </si>
  <si>
    <t>/InferiorAngle</t>
  </si>
  <si>
    <t>/ShearType</t>
  </si>
  <si>
    <t>/StructureMaterial</t>
  </si>
  <si>
    <t>Standar Pin</t>
  </si>
  <si>
    <t>/Diameter</t>
  </si>
  <si>
    <t>/Material</t>
  </si>
  <si>
    <t>Standar Bush</t>
  </si>
  <si>
    <t>/BushExternalDiameter</t>
  </si>
  <si>
    <t>/BushMaterial</t>
  </si>
  <si>
    <t>/Orientation_init</t>
  </si>
  <si>
    <t>INTERNAL DOUBLE SHEAR</t>
  </si>
  <si>
    <t xml:space="preserve">Authors: </t>
  </si>
  <si>
    <t>Pablo Arcediano</t>
  </si>
  <si>
    <t>Ángela Blazquez</t>
  </si>
  <si>
    <t>Héctor Dionisio</t>
  </si>
  <si>
    <t>Javier Vela</t>
  </si>
  <si>
    <t>Lucas Bernácer</t>
  </si>
  <si>
    <t>Case_1</t>
  </si>
  <si>
    <t>Ti-6Al-4V_ab_Annealed_Bar</t>
  </si>
  <si>
    <t>AIMS03-18-010</t>
  </si>
  <si>
    <t>Referenced</t>
  </si>
  <si>
    <t>A286-Cres_Bar</t>
  </si>
  <si>
    <t>7050_T7451_Plate</t>
  </si>
  <si>
    <t>AIMS03-02-022</t>
  </si>
  <si>
    <t>7175_T7351_Plate</t>
  </si>
  <si>
    <t>AIMS03-02-008</t>
  </si>
  <si>
    <t>Material Library</t>
  </si>
  <si>
    <t>15-5PH_H1025_Bar</t>
  </si>
  <si>
    <t>AIMS01-04-003</t>
  </si>
  <si>
    <t>Configuration:AFI/thickness:0-250</t>
  </si>
  <si>
    <t>15-5PH_H1025_Forging</t>
  </si>
  <si>
    <t>ASNA6116</t>
  </si>
  <si>
    <t>Configuration:AFI/thickness:0-150</t>
  </si>
  <si>
    <t>15-5PH_H1025_Plate</t>
  </si>
  <si>
    <t>AIMS01-04-001</t>
  </si>
  <si>
    <t>Configuration:AFI/thickness:6-40</t>
  </si>
  <si>
    <t>17-4PH_H1025_Bar</t>
  </si>
  <si>
    <t>WL1.4548.4</t>
  </si>
  <si>
    <t>Configuration:AFI/thickness:10-100</t>
  </si>
  <si>
    <t>17-4PH_H1025_Sheet</t>
  </si>
  <si>
    <t>Configuration:AFI/thickness:1.2-2.7</t>
  </si>
  <si>
    <t>17-4PH_H900_Bar</t>
  </si>
  <si>
    <t>WL.1.4548.6</t>
  </si>
  <si>
    <t>17-4PH_H900_Sheet</t>
  </si>
  <si>
    <t>2014A_T4_Bare-Sheet</t>
  </si>
  <si>
    <t>ABM1-6013_BS-L-156</t>
  </si>
  <si>
    <t>Configuration:AFI/thickness:0.8-6</t>
  </si>
  <si>
    <t>2014A_T6_Bare-Sheet</t>
  </si>
  <si>
    <t>ABM1-6014_BS-L-157</t>
  </si>
  <si>
    <t>2014A_T6_Forging</t>
  </si>
  <si>
    <t>ABM1-4010</t>
  </si>
  <si>
    <t>Configuration:AFI/thickness:0-50</t>
  </si>
  <si>
    <t>2014A_T651_Plate</t>
  </si>
  <si>
    <t>ABM1-4073</t>
  </si>
  <si>
    <t>Configuration:AFI/thickness:0-140</t>
  </si>
  <si>
    <t>2014A_T652_Forging</t>
  </si>
  <si>
    <t>ABM1-4011</t>
  </si>
  <si>
    <t>Configuration:AFI/thickness:0-165</t>
  </si>
  <si>
    <t>2024_T351_Plate</t>
  </si>
  <si>
    <t>AIMS03-02-004</t>
  </si>
  <si>
    <t>Configuration:AFI/thickness:6-12</t>
  </si>
  <si>
    <t>2024A_T351_Plate</t>
  </si>
  <si>
    <t>AIMS03-02-035</t>
  </si>
  <si>
    <t>Configuration:AFI/thickness:12-40</t>
  </si>
  <si>
    <t>2024-Clad_T3_Sheet</t>
  </si>
  <si>
    <t>AIMS03-04-011</t>
  </si>
  <si>
    <t>Configuration:AFI/thickness:0-6</t>
  </si>
  <si>
    <t>2024-Clad_T351_Sheet</t>
  </si>
  <si>
    <t>AIMS03-04-013</t>
  </si>
  <si>
    <t>2024-Clad_T42_Sheet</t>
  </si>
  <si>
    <t>AIMS03-04-012</t>
  </si>
  <si>
    <t>Configuration:AFI/thickness:0.2-12</t>
  </si>
  <si>
    <t>2024HDT_T351_Plate</t>
  </si>
  <si>
    <t>AIMS03-02-020</t>
  </si>
  <si>
    <t>2027_T351_Plate</t>
  </si>
  <si>
    <t>AIMS03-02-031</t>
  </si>
  <si>
    <t>2124_T851_Plate</t>
  </si>
  <si>
    <t>AIMS03-02-032</t>
  </si>
  <si>
    <t>Configuration:AFI/thickness:25-165</t>
  </si>
  <si>
    <t>2524-Clad_T3_Sheet</t>
  </si>
  <si>
    <t>AIMS03-04-031</t>
  </si>
  <si>
    <t>Configuration:AFI/thickness:1.6-6</t>
  </si>
  <si>
    <t>2524-Clad_T351_Sheet</t>
  </si>
  <si>
    <t>AIMS03-04-022</t>
  </si>
  <si>
    <t>Configuration:AFI/thickness:1.6-12</t>
  </si>
  <si>
    <t>2524-Clad_T42_Sheet</t>
  </si>
  <si>
    <t>AIMS03-04-023</t>
  </si>
  <si>
    <t>2618A_T62_Clad_Sheet_20degC</t>
  </si>
  <si>
    <t>AIMS03-04-036_20degC</t>
  </si>
  <si>
    <t>2618A_T651_Forging</t>
  </si>
  <si>
    <t>ABM1-4012</t>
  </si>
  <si>
    <t>Configuration:AFI/thickness:0-152</t>
  </si>
  <si>
    <t>2618A_T651_Plate</t>
  </si>
  <si>
    <t>ABM1-1006</t>
  </si>
  <si>
    <t>Configuration:AFI/thickness:6-140</t>
  </si>
  <si>
    <t>2618A_T851_Plate</t>
  </si>
  <si>
    <t>AIMS03-02-021</t>
  </si>
  <si>
    <t>Configuration:AFI/thickness:6-165</t>
  </si>
  <si>
    <t>30NCD16_Bar</t>
  </si>
  <si>
    <t>ASNA3130</t>
  </si>
  <si>
    <t>35NCD16_Bar</t>
  </si>
  <si>
    <t>ASNA3181</t>
  </si>
  <si>
    <t>Configuration:AFI/thickness:0-100</t>
  </si>
  <si>
    <t>5083_Sheet</t>
  </si>
  <si>
    <t>AIMS03-04-016</t>
  </si>
  <si>
    <t>Configuration:AFI/thickness:1-4</t>
  </si>
  <si>
    <t>6013_T62_Sheet</t>
  </si>
  <si>
    <t>AIMS03-04-040</t>
  </si>
  <si>
    <t>Configuration:AFI/thickness:2.5-8</t>
  </si>
  <si>
    <t>6056_T78_Sheet</t>
  </si>
  <si>
    <t>AIMS03-04-027</t>
  </si>
  <si>
    <t>Configuration:AFI/thickness:0.8-8</t>
  </si>
  <si>
    <t>6056_T78511_Extruded</t>
  </si>
  <si>
    <t>AIMS03-05-022</t>
  </si>
  <si>
    <t>Configuration:AFI/thickness:1.8-7</t>
  </si>
  <si>
    <t>6061_T3_T6_Extruded</t>
  </si>
  <si>
    <t>ABM2-2022</t>
  </si>
  <si>
    <t>Configuration:AFI/thickness:1-6.5</t>
  </si>
  <si>
    <t>6061_T62_Sheet</t>
  </si>
  <si>
    <t>AIMS03-04-042</t>
  </si>
  <si>
    <t>7010_T6_Sheet</t>
  </si>
  <si>
    <t>ASNA3004</t>
  </si>
  <si>
    <t>7010_T651_Plate</t>
  </si>
  <si>
    <t>ASNA3005</t>
  </si>
  <si>
    <t>Configuration:AFI/thickness:6-20</t>
  </si>
  <si>
    <t>7010_T6511_Extruded</t>
  </si>
  <si>
    <t>ASNA6031</t>
  </si>
  <si>
    <t>Configuration:AFI/thickness:1.2-12</t>
  </si>
  <si>
    <t>7010_T7451_Plate</t>
  </si>
  <si>
    <t>7010_T7452_Die-Forging</t>
  </si>
  <si>
    <t>ASNA3459</t>
  </si>
  <si>
    <t>7010_T7454_Die-Forging</t>
  </si>
  <si>
    <t>7010_T76_Forging</t>
  </si>
  <si>
    <t>AIMS03-08-005</t>
  </si>
  <si>
    <t>Configuration:AFI/thickness:0-160</t>
  </si>
  <si>
    <t>7010_T7651_Plate</t>
  </si>
  <si>
    <t>AIMS03-02-029</t>
  </si>
  <si>
    <t>Configuration:AFI/thickness:6-200</t>
  </si>
  <si>
    <t>7010_T7652_Forging</t>
  </si>
  <si>
    <t>7037_T7452_Forging</t>
  </si>
  <si>
    <t>AIMS03-08-007</t>
  </si>
  <si>
    <t>Configuration:AFI/thickness:75-280</t>
  </si>
  <si>
    <t>7040_T7451_Plate</t>
  </si>
  <si>
    <t>AIMS03-02-019</t>
  </si>
  <si>
    <t>Configuration:AFI/thickness:75-220</t>
  </si>
  <si>
    <t>7040HT_T7651_Plate</t>
  </si>
  <si>
    <t>AIMS03-02-023</t>
  </si>
  <si>
    <t>Configuration:AFI/thickness:120-145</t>
  </si>
  <si>
    <t>7050_T74_Die-Forging</t>
  </si>
  <si>
    <t>AIMS03-08-006</t>
  </si>
  <si>
    <t>7050_T74511_Extruded</t>
  </si>
  <si>
    <t>AIMS03-05-031</t>
  </si>
  <si>
    <t>Configuration:AFI/thickness:35-55</t>
  </si>
  <si>
    <t>7050_T7452_Die-Forging</t>
  </si>
  <si>
    <t>7050_T7454_Die-Forging</t>
  </si>
  <si>
    <t>7050_T7651_Plate</t>
  </si>
  <si>
    <t>7050_T76511_Extruded</t>
  </si>
  <si>
    <t>AIMS03-05-030</t>
  </si>
  <si>
    <t>7050_T76511_Extruded-Rib-Post</t>
  </si>
  <si>
    <t>AIMS03-05-042</t>
  </si>
  <si>
    <t>Configuration:AFI/thickness:12-60</t>
  </si>
  <si>
    <t>7050HT_T7451_Plate</t>
  </si>
  <si>
    <t>7055_T76511_Extruded</t>
  </si>
  <si>
    <t>AIMS03-05-016</t>
  </si>
  <si>
    <t>Configuration:AFI/thickness:1.2-20</t>
  </si>
  <si>
    <t>7055_T7751_Plate</t>
  </si>
  <si>
    <t>AIMS03-02-017</t>
  </si>
  <si>
    <t>7055_T7951_Plate</t>
  </si>
  <si>
    <t>AIMS03-02-024</t>
  </si>
  <si>
    <t>Configuration:AFI/thickness:19-40</t>
  </si>
  <si>
    <t>7055HF_T7951_Plate</t>
  </si>
  <si>
    <t>AIMS03-02-027</t>
  </si>
  <si>
    <t>Configuration:AFI/thickness:25-40</t>
  </si>
  <si>
    <t>7075_T651_Extruded</t>
  </si>
  <si>
    <t>ABM3-2034</t>
  </si>
  <si>
    <t>Configuration:AFI/thickness:6.35-38.1</t>
  </si>
  <si>
    <t>7075_T651_Plate</t>
  </si>
  <si>
    <t>ABM3-1074</t>
  </si>
  <si>
    <t>Configuration:AFI/thickness:6.35-50.8</t>
  </si>
  <si>
    <t>7075_T7351_Plate</t>
  </si>
  <si>
    <t>3.4364_or_ASNA3050</t>
  </si>
  <si>
    <t>7075_T73511_Extruded</t>
  </si>
  <si>
    <t>WL3.4364T73511</t>
  </si>
  <si>
    <t>Configuration:AFI/thickness:1.2-38</t>
  </si>
  <si>
    <t>7075-Clad_T6_Sheet</t>
  </si>
  <si>
    <t>WL3.4374T6</t>
  </si>
  <si>
    <t>Configuration:AFI/thickness:0.3-6.3</t>
  </si>
  <si>
    <t>7085_T7452-T7454_Forging</t>
  </si>
  <si>
    <t>AIMS03-08-003</t>
  </si>
  <si>
    <t>7085_T7652-T7654_Forging</t>
  </si>
  <si>
    <t>AIMS03-08-002</t>
  </si>
  <si>
    <t>7099_T7651_Plate</t>
  </si>
  <si>
    <t>ABS5237_B-01</t>
  </si>
  <si>
    <t>Configuration:AFI/thickness:20-150</t>
  </si>
  <si>
    <t>7136_T76511_Extruded</t>
  </si>
  <si>
    <t>7150_T651_Plate</t>
  </si>
  <si>
    <t>ABM3-1031</t>
  </si>
  <si>
    <t>7150_T6511_Extruded</t>
  </si>
  <si>
    <t>ABM3-2036</t>
  </si>
  <si>
    <t>Configuration:AFI/thickness:2-90</t>
  </si>
  <si>
    <t>7175_T73_Die-Forging</t>
  </si>
  <si>
    <t>AIMS03-08-008</t>
  </si>
  <si>
    <t>7175_T73_Extruded</t>
  </si>
  <si>
    <t>AIMS03-05-019</t>
  </si>
  <si>
    <t>7175_T73511_Extruded</t>
  </si>
  <si>
    <t>AIMS03-05-009</t>
  </si>
  <si>
    <t>7175_T7352_Forging</t>
  </si>
  <si>
    <t>7175_T7354_Die-Forging</t>
  </si>
  <si>
    <t>7175_T79511_Extruded</t>
  </si>
  <si>
    <t>AIMS03-05-012</t>
  </si>
  <si>
    <t>7349_T6511_Extruded</t>
  </si>
  <si>
    <t>AIMS03-05-017</t>
  </si>
  <si>
    <t>7349_T73_Sheet</t>
  </si>
  <si>
    <t>Configuration:AFI/thickness:0-12</t>
  </si>
  <si>
    <t>7349_T76511_Extruded</t>
  </si>
  <si>
    <t>7449_T651_Plate</t>
  </si>
  <si>
    <t>AIMS03-02-015</t>
  </si>
  <si>
    <t>Configuration:AFI/thickness:10-40</t>
  </si>
  <si>
    <t>7449_T7651_Plate</t>
  </si>
  <si>
    <t>AIMS03-02-028</t>
  </si>
  <si>
    <t>Configuration:AFI/thickness:20-100</t>
  </si>
  <si>
    <t>7449_T76511_Extruded</t>
  </si>
  <si>
    <t>TBD</t>
  </si>
  <si>
    <t>7449_T79511_Extruded</t>
  </si>
  <si>
    <t>AIMS03-05-015</t>
  </si>
  <si>
    <t>7475_T7351_Plate</t>
  </si>
  <si>
    <t>AIMS03-02-009</t>
  </si>
  <si>
    <t>7475_T762_Bare-Sheet</t>
  </si>
  <si>
    <t>AIMS03-04-019</t>
  </si>
  <si>
    <t>7475-Clad_T761_Sheet</t>
  </si>
  <si>
    <t>AIMS03-04-029</t>
  </si>
  <si>
    <t>Configuration:AFI/thickness:0.8-12</t>
  </si>
  <si>
    <t>7475-Clad_T762_Sheet</t>
  </si>
  <si>
    <t>AIMS03-04-030</t>
  </si>
  <si>
    <t>Configuration:AFI/thickness:0-125</t>
  </si>
  <si>
    <t>A357_T6_Casting</t>
  </si>
  <si>
    <t>AIMS03-16-001</t>
  </si>
  <si>
    <t>Configuration:AFI/thickness:0-20</t>
  </si>
  <si>
    <t>A357_T6_Casting-High-Strength</t>
  </si>
  <si>
    <t>AIMS03-16-003</t>
  </si>
  <si>
    <t>AlMgSc_Ko8242</t>
  </si>
  <si>
    <t>AIMS03-04-055</t>
  </si>
  <si>
    <t>Configuration:AFI/thickness:1.6-4</t>
  </si>
  <si>
    <t>AlMgSc_Ko8542</t>
  </si>
  <si>
    <t>AM-Ti-6Al-4V_SR-And-HIP_PB-EB</t>
  </si>
  <si>
    <t>AIMS03-22-002</t>
  </si>
  <si>
    <t>Configuration:AFI/thickness:0.25-12</t>
  </si>
  <si>
    <t>AM-Ti-6Al-4V_SR-And-HIP_PB-LB</t>
  </si>
  <si>
    <t>AIMS03-22-001</t>
  </si>
  <si>
    <t>Configuration:AFI/thickness:0.15-12</t>
  </si>
  <si>
    <t>AM-Ti-6Al-4V_Stress-relieved_WDED-EB-Plasma</t>
  </si>
  <si>
    <t>AIMS03-29-001</t>
  </si>
  <si>
    <t>Configuration:AFI/thickness:6-155</t>
  </si>
  <si>
    <t>Custom465_Bar</t>
  </si>
  <si>
    <t>AIMS01-04-009</t>
  </si>
  <si>
    <t>Configuration:AFI/thickness:6-250</t>
  </si>
  <si>
    <t>E35NCD16_Forging</t>
  </si>
  <si>
    <t>IGC04.31.227</t>
  </si>
  <si>
    <t>E40CDV12_Forging</t>
  </si>
  <si>
    <t>IGC04.31.229</t>
  </si>
  <si>
    <t>Marval-X12_Forging</t>
  </si>
  <si>
    <t>IGC04.31.225</t>
  </si>
  <si>
    <t>Marval-X12_Plate</t>
  </si>
  <si>
    <t>Marval-X12_Round-Bar</t>
  </si>
  <si>
    <t>ASNA3380</t>
  </si>
  <si>
    <t>Marval-X12H_Round-Bar</t>
  </si>
  <si>
    <t>ASNA3311</t>
  </si>
  <si>
    <t>Configuration:AFI/thickness:10-150</t>
  </si>
  <si>
    <t>MLX17_Bar</t>
  </si>
  <si>
    <t>PH13.8Mo_Forging</t>
  </si>
  <si>
    <t>IGC04.31.226</t>
  </si>
  <si>
    <t>PH13.8Mo_Plate</t>
  </si>
  <si>
    <t>PH13-8Mo_Bar</t>
  </si>
  <si>
    <t>AIMS01-04-002</t>
  </si>
  <si>
    <t>PH13-8Mo-H1000_Bar</t>
  </si>
  <si>
    <t>WL1.4534.5</t>
  </si>
  <si>
    <t>S145_Bar</t>
  </si>
  <si>
    <t>BS3S145</t>
  </si>
  <si>
    <t>S145_Forging</t>
  </si>
  <si>
    <t>S162_Bar</t>
  </si>
  <si>
    <t>BSS162</t>
  </si>
  <si>
    <t>Configuration:AFI/thickness:0-75</t>
  </si>
  <si>
    <t>S162_Forging</t>
  </si>
  <si>
    <t>S82_Bar</t>
  </si>
  <si>
    <t>BS5S82</t>
  </si>
  <si>
    <t>S82_Forging</t>
  </si>
  <si>
    <t>S98_Bar</t>
  </si>
  <si>
    <t>BS2S98</t>
  </si>
  <si>
    <t>S98_Forging</t>
  </si>
  <si>
    <t>S99_Bar</t>
  </si>
  <si>
    <t>BS5S99</t>
  </si>
  <si>
    <t>S99_Forging</t>
  </si>
  <si>
    <t>T40_Sheet</t>
  </si>
  <si>
    <t>AIMS03-18-002</t>
  </si>
  <si>
    <t>Configuration:AFI/thickness:0.1-6</t>
  </si>
  <si>
    <t>Ti-17_STA_Forging_20degC</t>
  </si>
  <si>
    <t>AIMS03-20-004</t>
  </si>
  <si>
    <t>Ti-3Al-2.5V_Annealed_Sheet</t>
  </si>
  <si>
    <t>AIMS03-18-012</t>
  </si>
  <si>
    <t>Configuration:AFI/thickness:0.3-6</t>
  </si>
  <si>
    <t>Ti-5Al-5Mo-2.5Sn_STA_Forging_TA48</t>
  </si>
  <si>
    <t>BS-TA48</t>
  </si>
  <si>
    <t>Ti-5Al-5Mo-2.5Sn_STA_Forging_TA51</t>
  </si>
  <si>
    <t>BS-TA51</t>
  </si>
  <si>
    <t>Ti-5Al-5Mo-5V-3Cr_Solution-Treated-and-Aged_Bar</t>
  </si>
  <si>
    <t>AIMS03-18-008</t>
  </si>
  <si>
    <t>Ti-6-2-4-2_Duplex-Annealed_Plate</t>
  </si>
  <si>
    <t>AMS4919</t>
  </si>
  <si>
    <t>Ti-6-2-4-2_Duplex-Annealed_Sheet</t>
  </si>
  <si>
    <t>Ti-6Al-4V_ab_Annealed_Forging</t>
  </si>
  <si>
    <t>AIMS03-20-002</t>
  </si>
  <si>
    <t>Ti-6Al-4V_ab_Annealed_Plate</t>
  </si>
  <si>
    <t>AIMS03-18-006</t>
  </si>
  <si>
    <t>Ti-6Al-4V_ab_Annealed_Plate_001</t>
  </si>
  <si>
    <t>AIMS03-18-001</t>
  </si>
  <si>
    <t>Ti-6Al-4V_ab_Annealed_Sheet</t>
  </si>
  <si>
    <t>AIMS03-18-004</t>
  </si>
  <si>
    <t>Ti-6Al-4V_Annealed_Extrusion</t>
  </si>
  <si>
    <t>AIMS03-18-011</t>
  </si>
  <si>
    <t>Ti-6Al-4V_Annealed_Forging</t>
  </si>
  <si>
    <t>BS-TA13</t>
  </si>
  <si>
    <t>Ti-6Al-4V_Annealed_Plate</t>
  </si>
  <si>
    <t>BS-TA56</t>
  </si>
  <si>
    <t>Ti-6Al-4V_b_Annealed_Forging</t>
  </si>
  <si>
    <t>AIMS03-20-001</t>
  </si>
  <si>
    <t>Configuration:AFI/thickness:0-200</t>
  </si>
  <si>
    <t>Ti-6Al-4V_b_Annealed_Plate</t>
  </si>
  <si>
    <t>AIMS03-18-007</t>
  </si>
  <si>
    <t>Ti-6Al-4V_H-I-P-ab_Annealed_Casting</t>
  </si>
  <si>
    <t>AIMS03-21-002</t>
  </si>
  <si>
    <t>Ti-P99003_Annealed_Sheet</t>
  </si>
  <si>
    <t>ASNA3303</t>
  </si>
  <si>
    <t>Ti-P99004_Sheet</t>
  </si>
  <si>
    <t>WL3.7064.1</t>
  </si>
  <si>
    <t>Z6CNT18-10_Sheet</t>
  </si>
  <si>
    <t>ASNA3106</t>
  </si>
  <si>
    <t>Configuration:AFI/thickness:0.4-6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</si>
</sst>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
    <numFmt numFmtId="165" formatCode="0.0000"/>
    <numFmt numFmtId="166" formatCode="#,##0.000"/>
  </numFmts>
  <fonts count="19" x14ac:knownFonts="1">
    <font>
      <sz val="11"/>
      <color theme="1"/>
      <name val="Calibri"/>
      <family val="2"/>
      <scheme val="minor"/>
    </font>
    <font>
      <sz val="11"/>
      <color theme="1"/>
      <name val="Calibri"/>
      <family val="2"/>
      <scheme val="minor"/>
    </font>
    <font>
      <sz val="11"/>
      <color rgb="FF006100"/>
      <name val="Calibri"/>
      <family val="2"/>
      <scheme val="minor"/>
    </font>
    <font>
      <b/>
      <sz val="11"/>
      <color rgb="FF3F3F3F"/>
      <name val="Calibri"/>
      <family val="2"/>
      <scheme val="minor"/>
    </font>
    <font>
      <sz val="11"/>
      <name val="Calibri"/>
      <family val="2"/>
      <scheme val="minor"/>
    </font>
    <font>
      <b/>
      <sz val="11"/>
      <name val="Calibri"/>
      <family val="2"/>
      <scheme val="minor"/>
    </font>
    <font>
      <b/>
      <sz val="11"/>
      <name val="Calibri"/>
      <family val="2"/>
    </font>
    <font>
      <sz val="10"/>
      <name val="Arial"/>
      <family val="2"/>
    </font>
    <font>
      <sz val="10"/>
      <name val="Calibri"/>
      <family val="2"/>
      <scheme val="minor"/>
    </font>
    <font>
      <sz val="11"/>
      <color indexed="10"/>
      <name val="Calibri"/>
      <family val="2"/>
    </font>
    <font>
      <b/>
      <sz val="11"/>
      <color indexed="8"/>
      <name val="Calibri"/>
      <family val="2"/>
    </font>
    <font>
      <b/>
      <sz val="8"/>
      <color indexed="81"/>
      <name val="Tahoma"/>
      <family val="2"/>
    </font>
    <font>
      <sz val="8"/>
      <color indexed="81"/>
      <name val="Tahoma"/>
      <family val="2"/>
    </font>
    <font>
      <sz val="11"/>
      <color indexed="8"/>
      <name val="Calibri"/>
      <family val="2"/>
    </font>
    <font>
      <sz val="11"/>
      <color theme="3" tint="-0.499984740745262"/>
      <name val="Calibri"/>
      <family val="2"/>
      <scheme val="minor"/>
    </font>
    <font>
      <b/>
      <sz val="12"/>
      <color rgb="FFFA7D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s>
  <fills count="19">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rgb="FFFFC0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C6EFCE"/>
      </patternFill>
    </fill>
    <fill>
      <patternFill patternType="solid">
        <fgColor rgb="FFFFFFCC"/>
      </patternFill>
    </fill>
    <fill>
      <patternFill patternType="solid">
        <fgColor theme="2" tint="-9.9948118533890809E-2"/>
        <bgColor indexed="64"/>
      </patternFill>
    </fill>
    <fill>
      <patternFill patternType="solid">
        <fgColor theme="4" tint="0.39997558519241921"/>
        <bgColor indexed="64"/>
      </patternFill>
    </fill>
    <fill>
      <patternFill patternType="solid">
        <fgColor theme="0"/>
        <bgColor indexed="64"/>
      </patternFill>
    </fill>
    <fill>
      <patternFill patternType="solid">
        <fgColor theme="4"/>
        <bgColor indexed="64"/>
      </patternFill>
    </fill>
    <fill>
      <patternFill patternType="solid">
        <fgColor theme="5"/>
        <bgColor indexed="64"/>
      </patternFill>
    </fill>
    <fill>
      <patternFill patternType="solid">
        <fgColor theme="7" tint="0.79998168889431442"/>
        <bgColor indexed="64"/>
      </patternFill>
    </fill>
    <fill>
      <patternFill patternType="solid">
        <fgColor theme="7"/>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6"/>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s>
  <cellStyleXfs count="14">
    <xf numFmtId="0" fontId="0" fillId="0" borderId="0"/>
    <xf numFmtId="0" fontId="1" fillId="0" borderId="0"/>
    <xf numFmtId="0" fontId="2" fillId="7" borderId="0" applyNumberFormat="0" applyBorder="0" applyAlignment="0" applyProtection="0"/>
    <xf numFmtId="2" fontId="3" fillId="9" borderId="6" applyNumberFormat="0" applyFont="0" applyBorder="0" applyAlignment="0">
      <alignment horizontal="center" vertical="center"/>
    </xf>
    <xf numFmtId="0" fontId="13" fillId="0" borderId="0"/>
    <xf numFmtId="0" fontId="1" fillId="0" borderId="0"/>
    <xf numFmtId="0" fontId="7" fillId="0" borderId="0"/>
    <xf numFmtId="0" fontId="13" fillId="0" borderId="0"/>
    <xf numFmtId="0" fontId="13" fillId="0" borderId="0"/>
    <xf numFmtId="0" fontId="7" fillId="0" borderId="0"/>
    <xf numFmtId="0" fontId="7" fillId="0" borderId="0"/>
    <xf numFmtId="9" fontId="7" fillId="0" borderId="0" applyFont="0" applyFill="0" applyBorder="0" applyAlignment="0" applyProtection="0"/>
    <xf numFmtId="1" fontId="14" fillId="10" borderId="5" applyNumberFormat="0" applyBorder="0" applyAlignment="0">
      <alignment horizontal="center" vertical="center"/>
    </xf>
    <xf numFmtId="2" fontId="15" fillId="8" borderId="7">
      <alignment horizontal="center" vertical="center" wrapText="1"/>
    </xf>
  </cellStyleXfs>
  <cellXfs count="84">
    <xf numFmtId="0" fontId="0" fillId="0" borderId="0" xfId="0"/>
    <xf numFmtId="0" fontId="0" fillId="0" borderId="0" xfId="0" applyAlignment="1">
      <alignment horizontal="center"/>
    </xf>
    <xf numFmtId="0" fontId="0" fillId="0" borderId="1" xfId="0" applyBorder="1"/>
    <xf numFmtId="0" fontId="0" fillId="0" borderId="1" xfId="0" applyBorder="1" applyAlignment="1">
      <alignment horizontal="center"/>
    </xf>
    <xf numFmtId="0" fontId="0" fillId="3" borderId="1" xfId="0" applyFill="1" applyBorder="1"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0" fontId="0" fillId="6" borderId="1" xfId="0" applyFill="1" applyBorder="1" applyAlignment="1">
      <alignment horizontal="center"/>
    </xf>
    <xf numFmtId="0" fontId="4" fillId="0" borderId="1" xfId="0" applyFont="1" applyFill="1" applyBorder="1" applyAlignment="1">
      <alignment horizontal="center" vertical="center" wrapText="1"/>
    </xf>
    <xf numFmtId="164" fontId="4" fillId="0" borderId="1" xfId="0" applyNumberFormat="1" applyFont="1" applyFill="1" applyBorder="1" applyAlignment="1">
      <alignment horizontal="center" vertical="center" wrapText="1"/>
    </xf>
    <xf numFmtId="0" fontId="7" fillId="0" borderId="1" xfId="0" applyFont="1" applyFill="1" applyBorder="1" applyAlignment="1">
      <alignment horizontal="center" vertical="center" wrapText="1"/>
    </xf>
    <xf numFmtId="0" fontId="4" fillId="0" borderId="1" xfId="2" applyFont="1" applyFill="1" applyBorder="1" applyAlignment="1">
      <alignment horizontal="center" vertical="center"/>
    </xf>
    <xf numFmtId="0" fontId="4" fillId="0" borderId="1" xfId="2" applyFont="1" applyFill="1" applyBorder="1" applyAlignment="1">
      <alignment horizontal="center" vertical="center" wrapText="1"/>
    </xf>
    <xf numFmtId="164" fontId="4" fillId="0" borderId="1" xfId="2" applyNumberFormat="1" applyFont="1" applyFill="1" applyBorder="1" applyAlignment="1">
      <alignment horizontal="center" vertical="center" wrapText="1"/>
    </xf>
    <xf numFmtId="0" fontId="7" fillId="0" borderId="1" xfId="0" applyFont="1" applyFill="1" applyBorder="1" applyAlignment="1">
      <alignment horizontal="center" vertical="center"/>
    </xf>
    <xf numFmtId="0" fontId="4" fillId="0" borderId="1" xfId="0" applyFont="1" applyFill="1" applyBorder="1" applyAlignment="1">
      <alignment horizontal="center" vertical="center"/>
    </xf>
    <xf numFmtId="0" fontId="8" fillId="0" borderId="1" xfId="0" applyFont="1" applyFill="1" applyBorder="1" applyAlignment="1">
      <alignment horizontal="center" vertical="center"/>
    </xf>
    <xf numFmtId="0" fontId="4" fillId="0" borderId="0" xfId="0" applyFont="1" applyFill="1" applyBorder="1" applyAlignment="1">
      <alignment horizontal="center" vertical="center" wrapText="1"/>
    </xf>
    <xf numFmtId="164" fontId="4" fillId="0" borderId="0" xfId="0" applyNumberFormat="1" applyFont="1" applyFill="1" applyBorder="1" applyAlignment="1">
      <alignment horizontal="center" vertical="center" wrapText="1"/>
    </xf>
    <xf numFmtId="0" fontId="4" fillId="0" borderId="0" xfId="0" applyFont="1" applyFill="1" applyBorder="1" applyAlignment="1">
      <alignment horizontal="center" vertical="center"/>
    </xf>
    <xf numFmtId="0" fontId="7" fillId="0" borderId="0" xfId="0" applyFont="1" applyFill="1" applyBorder="1" applyAlignment="1">
      <alignment horizontal="center" vertical="center"/>
    </xf>
    <xf numFmtId="0" fontId="0" fillId="0" borderId="0" xfId="0" applyFill="1" applyBorder="1"/>
    <xf numFmtId="164" fontId="0" fillId="0" borderId="0" xfId="0" applyNumberFormat="1" applyFill="1" applyBorder="1"/>
    <xf numFmtId="164" fontId="0" fillId="0" borderId="0" xfId="0" applyNumberFormat="1" applyFill="1" applyBorder="1" applyAlignment="1">
      <alignment horizontal="center" vertical="center"/>
    </xf>
    <xf numFmtId="165" fontId="0" fillId="0" borderId="0" xfId="0" applyNumberFormat="1" applyFill="1" applyBorder="1"/>
    <xf numFmtId="0" fontId="7" fillId="0" borderId="0" xfId="0" applyFont="1" applyFill="1" applyBorder="1"/>
    <xf numFmtId="0" fontId="9" fillId="0" borderId="0" xfId="0" applyFont="1" applyFill="1" applyBorder="1"/>
    <xf numFmtId="0" fontId="10" fillId="0" borderId="0" xfId="0" applyFont="1" applyFill="1" applyBorder="1" applyAlignment="1">
      <alignment horizontal="centerContinuous"/>
    </xf>
    <xf numFmtId="164" fontId="10" fillId="0" borderId="0" xfId="0" applyNumberFormat="1" applyFont="1" applyFill="1" applyBorder="1" applyAlignment="1">
      <alignment horizontal="centerContinuous"/>
    </xf>
    <xf numFmtId="164" fontId="10" fillId="0" borderId="0" xfId="0" applyNumberFormat="1" applyFont="1" applyFill="1" applyBorder="1" applyAlignment="1">
      <alignment horizontal="center" vertical="center"/>
    </xf>
    <xf numFmtId="165" fontId="10" fillId="0" borderId="0" xfId="0" applyNumberFormat="1" applyFont="1" applyFill="1" applyBorder="1" applyAlignment="1">
      <alignment horizontal="centerContinuous"/>
    </xf>
    <xf numFmtId="0" fontId="10" fillId="0" borderId="0" xfId="0" applyFont="1" applyFill="1" applyBorder="1" applyAlignment="1"/>
    <xf numFmtId="0" fontId="10" fillId="0" borderId="0" xfId="0" applyFont="1" applyFill="1" applyBorder="1" applyAlignment="1">
      <alignment horizontal="center" vertical="center" wrapText="1"/>
    </xf>
    <xf numFmtId="164"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wrapText="1"/>
    </xf>
    <xf numFmtId="2" fontId="0" fillId="0" borderId="0" xfId="0" applyNumberFormat="1" applyFill="1" applyBorder="1" applyAlignment="1">
      <alignment wrapText="1"/>
    </xf>
    <xf numFmtId="164" fontId="0" fillId="0" borderId="0" xfId="0" applyNumberFormat="1" applyFill="1" applyBorder="1" applyAlignment="1">
      <alignment wrapText="1"/>
    </xf>
    <xf numFmtId="164" fontId="0" fillId="0" borderId="0" xfId="0" applyNumberFormat="1" applyFill="1" applyBorder="1" applyAlignment="1">
      <alignment horizontal="center" vertical="center" wrapText="1"/>
    </xf>
    <xf numFmtId="4" fontId="0" fillId="0" borderId="0" xfId="0" applyNumberFormat="1" applyFill="1" applyBorder="1"/>
    <xf numFmtId="166" fontId="0" fillId="0" borderId="0" xfId="0" applyNumberFormat="1" applyFill="1" applyBorder="1"/>
    <xf numFmtId="164" fontId="0" fillId="0" borderId="0" xfId="0" applyNumberFormat="1"/>
    <xf numFmtId="164" fontId="0" fillId="0" borderId="0" xfId="0" applyNumberFormat="1" applyAlignment="1">
      <alignment horizontal="center" vertical="center"/>
    </xf>
    <xf numFmtId="165" fontId="0" fillId="0" borderId="0" xfId="0" applyNumberFormat="1"/>
    <xf numFmtId="0" fontId="0" fillId="11" borderId="0" xfId="0" applyFill="1"/>
    <xf numFmtId="2" fontId="0" fillId="0" borderId="1" xfId="0" applyNumberFormat="1" applyBorder="1" applyAlignment="1">
      <alignment horizontal="center"/>
    </xf>
    <xf numFmtId="0" fontId="0" fillId="6" borderId="10" xfId="0" applyFill="1" applyBorder="1" applyAlignment="1">
      <alignment horizontal="center" vertical="center"/>
    </xf>
    <xf numFmtId="0" fontId="0" fillId="2" borderId="1" xfId="0" applyFill="1" applyBorder="1" applyAlignment="1">
      <alignment horizontal="center"/>
    </xf>
    <xf numFmtId="0" fontId="0" fillId="16" borderId="10" xfId="0" applyFill="1" applyBorder="1" applyAlignment="1">
      <alignment horizontal="center"/>
    </xf>
    <xf numFmtId="0" fontId="0" fillId="17" borderId="1" xfId="0" applyFill="1" applyBorder="1" applyAlignment="1">
      <alignment horizontal="center"/>
    </xf>
    <xf numFmtId="0" fontId="17" fillId="6" borderId="1" xfId="0" applyFont="1" applyFill="1" applyBorder="1" applyAlignment="1">
      <alignment horizontal="center"/>
    </xf>
    <xf numFmtId="0" fontId="4" fillId="14" borderId="1" xfId="0" applyFont="1" applyFill="1" applyBorder="1" applyAlignment="1">
      <alignment horizontal="center"/>
    </xf>
    <xf numFmtId="0" fontId="5" fillId="18" borderId="1" xfId="0" applyFont="1" applyFill="1" applyBorder="1" applyAlignment="1">
      <alignment horizontal="center"/>
    </xf>
    <xf numFmtId="0" fontId="16" fillId="12" borderId="12" xfId="0" applyFont="1" applyFill="1" applyBorder="1"/>
    <xf numFmtId="0" fontId="0" fillId="11" borderId="0" xfId="0" applyFill="1" applyBorder="1" applyAlignment="1">
      <alignment horizontal="center"/>
    </xf>
    <xf numFmtId="0" fontId="0" fillId="0" borderId="11" xfId="0" applyFill="1" applyBorder="1" applyAlignment="1"/>
    <xf numFmtId="0" fontId="4" fillId="17" borderId="1" xfId="0" applyFont="1" applyFill="1" applyBorder="1" applyAlignment="1">
      <alignment horizontal="center" vertical="center" wrapText="1"/>
    </xf>
    <xf numFmtId="164" fontId="4" fillId="17" borderId="1" xfId="0" applyNumberFormat="1" applyFont="1" applyFill="1" applyBorder="1" applyAlignment="1">
      <alignment horizontal="center" vertical="center" wrapText="1"/>
    </xf>
    <xf numFmtId="164" fontId="4" fillId="17" borderId="1" xfId="0" quotePrefix="1" applyNumberFormat="1" applyFont="1" applyFill="1" applyBorder="1" applyAlignment="1">
      <alignment horizontal="center" vertical="center" wrapText="1"/>
    </xf>
    <xf numFmtId="165" fontId="4" fillId="17" borderId="1" xfId="0" applyNumberFormat="1" applyFont="1" applyFill="1" applyBorder="1" applyAlignment="1">
      <alignment horizontal="center" vertical="center" wrapText="1"/>
    </xf>
    <xf numFmtId="164" fontId="5" fillId="17" borderId="1" xfId="0" applyNumberFormat="1" applyFont="1" applyFill="1" applyBorder="1" applyAlignment="1">
      <alignment horizontal="center" vertical="center" wrapText="1"/>
    </xf>
    <xf numFmtId="0" fontId="0" fillId="0" borderId="11" xfId="0" applyFill="1" applyBorder="1" applyAlignment="1">
      <alignment horizontal="left"/>
    </xf>
    <xf numFmtId="0" fontId="16" fillId="12" borderId="2" xfId="0" applyFont="1" applyFill="1" applyBorder="1" applyAlignment="1">
      <alignment horizontal="center"/>
    </xf>
    <xf numFmtId="0" fontId="16" fillId="12" borderId="4" xfId="0" applyFont="1" applyFill="1" applyBorder="1" applyAlignment="1">
      <alignment horizontal="center"/>
    </xf>
    <xf numFmtId="0" fontId="16" fillId="12" borderId="3" xfId="0" applyFont="1" applyFill="1" applyBorder="1" applyAlignment="1">
      <alignment horizontal="center"/>
    </xf>
    <xf numFmtId="0" fontId="16" fillId="15" borderId="2" xfId="0" applyFont="1" applyFill="1" applyBorder="1" applyAlignment="1">
      <alignment horizontal="center"/>
    </xf>
    <xf numFmtId="0" fontId="16" fillId="15" borderId="4" xfId="0" applyFont="1" applyFill="1" applyBorder="1" applyAlignment="1">
      <alignment horizontal="center"/>
    </xf>
    <xf numFmtId="0" fontId="16" fillId="15" borderId="3" xfId="0" applyFont="1" applyFill="1" applyBorder="1" applyAlignment="1">
      <alignment horizontal="center"/>
    </xf>
    <xf numFmtId="0" fontId="16" fillId="13" borderId="2" xfId="0" applyFont="1" applyFill="1" applyBorder="1" applyAlignment="1">
      <alignment horizontal="center"/>
    </xf>
    <xf numFmtId="0" fontId="16" fillId="13" borderId="4" xfId="0" applyFont="1" applyFill="1" applyBorder="1" applyAlignment="1">
      <alignment horizontal="center"/>
    </xf>
    <xf numFmtId="0" fontId="16" fillId="13" borderId="3" xfId="0" applyFont="1" applyFill="1" applyBorder="1" applyAlignment="1">
      <alignment horizontal="center"/>
    </xf>
    <xf numFmtId="0" fontId="17" fillId="6" borderId="8" xfId="0" applyFont="1" applyFill="1" applyBorder="1" applyAlignment="1">
      <alignment horizontal="center" vertical="center"/>
    </xf>
    <xf numFmtId="0" fontId="17" fillId="6" borderId="10" xfId="0" applyFont="1" applyFill="1" applyBorder="1" applyAlignment="1">
      <alignment horizontal="center" vertical="center"/>
    </xf>
    <xf numFmtId="0" fontId="5" fillId="17" borderId="1" xfId="0" applyFont="1" applyFill="1" applyBorder="1" applyAlignment="1">
      <alignment horizontal="center" vertical="center" wrapText="1"/>
    </xf>
    <xf numFmtId="0" fontId="4" fillId="17" borderId="8" xfId="0" applyFont="1" applyFill="1" applyBorder="1" applyAlignment="1">
      <alignment horizontal="center" vertical="center" wrapText="1"/>
    </xf>
    <xf numFmtId="0" fontId="4" fillId="17" borderId="9" xfId="0" applyFont="1" applyFill="1" applyBorder="1" applyAlignment="1">
      <alignment horizontal="center" vertical="center" wrapText="1"/>
    </xf>
    <xf numFmtId="0" fontId="4" fillId="17" borderId="10" xfId="0" applyFont="1" applyFill="1" applyBorder="1" applyAlignment="1">
      <alignment horizontal="center" vertical="center" wrapText="1"/>
    </xf>
    <xf numFmtId="0" fontId="16" fillId="12" borderId="2" xfId="0" applyFont="1" applyFill="1" applyBorder="1" applyAlignment="1">
      <alignment horizontal="center" vertical="center" wrapText="1"/>
    </xf>
    <xf numFmtId="0" fontId="16" fillId="12" borderId="4" xfId="0" applyFont="1" applyFill="1" applyBorder="1" applyAlignment="1">
      <alignment horizontal="center" vertical="center" wrapText="1"/>
    </xf>
    <xf numFmtId="0" fontId="16" fillId="12" borderId="3" xfId="0" applyFont="1" applyFill="1" applyBorder="1" applyAlignment="1">
      <alignment horizontal="center" vertical="center" wrapText="1"/>
    </xf>
    <xf numFmtId="0" fontId="6" fillId="17" borderId="1" xfId="0" applyFont="1" applyFill="1" applyBorder="1" applyAlignment="1">
      <alignment horizontal="center" vertical="center" wrapText="1"/>
    </xf>
    <xf numFmtId="0" fontId="18" fillId="12" borderId="1" xfId="0" applyFont="1" applyFill="1" applyBorder="1" applyAlignment="1">
      <alignment horizontal="center"/>
    </xf>
    <xf numFmtId="0" fontId="0" fillId="16" borderId="1" xfId="0" applyFont="1" applyFill="1" applyBorder="1" applyAlignment="1">
      <alignment horizontal="center"/>
    </xf>
    <xf numFmtId="0" fontId="0" fillId="0" borderId="1" xfId="0" applyFont="1" applyBorder="1" applyAlignment="1">
      <alignment horizontal="center" vertical="top"/>
    </xf>
    <xf numFmtId="0" fontId="0" fillId="0" borderId="1" xfId="0" applyFont="1" applyBorder="1" applyAlignment="1">
      <alignment horizontal="center"/>
    </xf>
  </cellXfs>
  <cellStyles count="14">
    <cellStyle name="Bueno" xfId="2" builtinId="26"/>
    <cellStyle name="Datos" xfId="3"/>
    <cellStyle name="Normal" xfId="0" builtinId="0"/>
    <cellStyle name="Normal 2" xfId="1"/>
    <cellStyle name="Normal 2 10" xfId="4"/>
    <cellStyle name="Normal 2 2" xfId="5"/>
    <cellStyle name="Normal 2 2 2" xfId="6"/>
    <cellStyle name="Normal 2_A350XWB_METHODOLOGY_Panels_MATB_Iss1" xfId="7"/>
    <cellStyle name="Normal 3" xfId="8"/>
    <cellStyle name="Normal 4" xfId="9"/>
    <cellStyle name="Normal 6" xfId="10"/>
    <cellStyle name="Porcentual 2" xfId="11"/>
    <cellStyle name="Referencia" xfId="12"/>
    <cellStyle name="Resultados" xfId="1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228600</xdr:colOff>
      <xdr:row>5</xdr:row>
      <xdr:rowOff>95250</xdr:rowOff>
    </xdr:from>
    <xdr:to>
      <xdr:col>8</xdr:col>
      <xdr:colOff>571500</xdr:colOff>
      <xdr:row>23</xdr:row>
      <xdr:rowOff>1</xdr:rowOff>
    </xdr:to>
    <xdr:pic>
      <xdr:nvPicPr>
        <xdr:cNvPr id="2" name="1 Image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0" y="1047750"/>
          <a:ext cx="6581775" cy="3333751"/>
        </a:xfrm>
        <a:prstGeom prst="rect">
          <a:avLst/>
        </a:prstGeom>
        <a:ln w="38100" cap="sq">
          <a:solidFill>
            <a:schemeClr val="accent1"/>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8</xdr:col>
      <xdr:colOff>752474</xdr:colOff>
      <xdr:row>5</xdr:row>
      <xdr:rowOff>76200</xdr:rowOff>
    </xdr:from>
    <xdr:to>
      <xdr:col>16</xdr:col>
      <xdr:colOff>266699</xdr:colOff>
      <xdr:row>16</xdr:row>
      <xdr:rowOff>47625</xdr:rowOff>
    </xdr:to>
    <xdr:sp macro="" textlink="">
      <xdr:nvSpPr>
        <xdr:cNvPr id="3" name="2 CuadroTexto"/>
        <xdr:cNvSpPr txBox="1"/>
      </xdr:nvSpPr>
      <xdr:spPr>
        <a:xfrm>
          <a:off x="6991349" y="1028700"/>
          <a:ext cx="5610225" cy="2066925"/>
        </a:xfrm>
        <a:prstGeom prst="rect">
          <a:avLst/>
        </a:prstGeom>
        <a:solidFill>
          <a:schemeClr val="l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lugISAMI</a:t>
          </a:r>
          <a:r>
            <a:rPr lang="en-US" sz="1100" b="1" baseline="0"/>
            <a:t> Excel Template </a:t>
          </a:r>
          <a:r>
            <a:rPr lang="en-US" sz="1100" b="1"/>
            <a:t>(ISAMI input file generator)</a:t>
          </a:r>
        </a:p>
        <a:p>
          <a:endParaRPr lang="en-US" sz="1100"/>
        </a:p>
        <a:p>
          <a:r>
            <a:rPr lang="en-US" sz="1100"/>
            <a:t>1. Fill the "Analysis" sheet with all the required information for the lug analysis. Please,</a:t>
          </a:r>
          <a:r>
            <a:rPr lang="en-US" sz="1100" baseline="0"/>
            <a:t> provide values in the proper format and select the options that appear in the deployable lists. After selecting the bush and pin standard from the list, it is required to drag the formula for the diameter and material from the previous row. </a:t>
          </a:r>
          <a:endParaRPr lang="en-US" sz="1100"/>
        </a:p>
        <a:p>
          <a:endParaRPr lang="en-US" sz="1100" baseline="0"/>
        </a:p>
        <a:p>
          <a:r>
            <a:rPr lang="en-US" sz="1100" baseline="0"/>
            <a:t>2. Add the desired materials in the "Material" sheet inside the specified area. The number of materials has been limited to 15. </a:t>
          </a:r>
        </a:p>
        <a:p>
          <a:endParaRPr lang="en-US" sz="1100" baseline="0"/>
        </a:p>
        <a:p>
          <a:r>
            <a:rPr lang="en-US" sz="1100" baseline="0"/>
            <a:t>3. Please, only write in the specified zones and do not add rows or columns. </a:t>
          </a:r>
        </a:p>
        <a:p>
          <a:endParaRPr lang="en-US" sz="1100" baseline="0"/>
        </a:p>
        <a:p>
          <a:endParaRPr lang="en-US" sz="1100" baseline="0"/>
        </a:p>
        <a:p>
          <a:endParaRPr lang="en-US" sz="1100"/>
        </a:p>
        <a:p>
          <a:endParaRPr lang="en-US" sz="1100"/>
        </a:p>
        <a:p>
          <a:endParaRPr lang="en-US" sz="1100"/>
        </a:p>
      </xdr:txBody>
    </xdr:sp>
    <xdr:clientData/>
  </xdr:twoCellAnchor>
  <xdr:twoCellAnchor editAs="oneCell">
    <xdr:from>
      <xdr:col>0</xdr:col>
      <xdr:colOff>523874</xdr:colOff>
      <xdr:row>0</xdr:row>
      <xdr:rowOff>133349</xdr:rowOff>
    </xdr:from>
    <xdr:to>
      <xdr:col>8</xdr:col>
      <xdr:colOff>104774</xdr:colOff>
      <xdr:row>4</xdr:row>
      <xdr:rowOff>133350</xdr:rowOff>
    </xdr:to>
    <xdr:pic>
      <xdr:nvPicPr>
        <xdr:cNvPr id="5" name="Imagen 4" descr="Capgemini Engineering, la nueva marca que reúne su experiencia en  ingeniería e I+D | Noticias | Mercado TI | Computing"/>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0579" b="26312"/>
        <a:stretch/>
      </xdr:blipFill>
      <xdr:spPr bwMode="auto">
        <a:xfrm>
          <a:off x="523874" y="133349"/>
          <a:ext cx="5819775" cy="762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200024</xdr:colOff>
      <xdr:row>24</xdr:row>
      <xdr:rowOff>28575</xdr:rowOff>
    </xdr:from>
    <xdr:to>
      <xdr:col>7</xdr:col>
      <xdr:colOff>866775</xdr:colOff>
      <xdr:row>33</xdr:row>
      <xdr:rowOff>104775</xdr:rowOff>
    </xdr:to>
    <xdr:sp macro="" textlink="">
      <xdr:nvSpPr>
        <xdr:cNvPr id="6" name="2 CuadroTexto"/>
        <xdr:cNvSpPr txBox="1"/>
      </xdr:nvSpPr>
      <xdr:spPr>
        <a:xfrm>
          <a:off x="200024" y="4600575"/>
          <a:ext cx="6000751" cy="1790700"/>
        </a:xfrm>
        <a:prstGeom prst="rect">
          <a:avLst/>
        </a:prstGeom>
        <a:solidFill>
          <a:schemeClr val="l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Limitations</a:t>
          </a:r>
          <a:r>
            <a:rPr lang="en-US" sz="1100" b="1" baseline="0"/>
            <a:t> of the template:</a:t>
          </a:r>
          <a:endParaRPr lang="en-US" sz="1100" b="1"/>
        </a:p>
        <a:p>
          <a:endParaRPr lang="en-US" sz="1100"/>
        </a:p>
        <a:p>
          <a:r>
            <a:rPr lang="en-US" sz="1100"/>
            <a:t>- Number of materials has</a:t>
          </a:r>
          <a:r>
            <a:rPr lang="en-US" sz="1100" baseline="0"/>
            <a:t> been limited to 15</a:t>
          </a:r>
          <a:r>
            <a:rPr lang="en-US" sz="1100"/>
            <a:t>. </a:t>
          </a:r>
        </a:p>
        <a:p>
          <a:r>
            <a:rPr lang="en-US" sz="1100" baseline="0"/>
            <a:t>- "Location" name must be provided without blank spaces.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r>
            <a:rPr lang="en-US" sz="1100" baseline="0">
              <a:solidFill>
                <a:schemeClr val="dk1"/>
              </a:solidFill>
              <a:effectLst/>
              <a:latin typeface="+mn-lt"/>
              <a:ea typeface="+mn-ea"/>
              <a:cs typeface="+mn-cs"/>
            </a:rPr>
            <a:t>After selecting the bush and pin standard from the list, it is required to drag the formula for the diameter and material from the previous row. This two fields will be computed automatically.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 The material selected for the lug must contain a proper configuration.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 F7 factor from the AFI approach has been set equal to 1 (Lug with high interference fit bush).</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 Don't change the sheet names. </a:t>
          </a:r>
        </a:p>
        <a:p>
          <a:pPr marL="0" marR="0" lvl="0" indent="0" defTabSz="914400" eaLnBrk="1" fontAlgn="auto" latinLnBrk="0" hangingPunct="1">
            <a:lnSpc>
              <a:spcPct val="100000"/>
            </a:lnSpc>
            <a:spcBef>
              <a:spcPts val="0"/>
            </a:spcBef>
            <a:spcAft>
              <a:spcPts val="0"/>
            </a:spcAft>
            <a:buClrTx/>
            <a:buSzTx/>
            <a:buFontTx/>
            <a:buNone/>
            <a:tabLst/>
            <a:defRPr/>
          </a:pPr>
          <a:endParaRPr lang="en-US">
            <a:effectLst/>
          </a:endParaRPr>
        </a:p>
        <a:p>
          <a:endParaRPr lang="en-US" sz="1100" baseline="0"/>
        </a:p>
        <a:p>
          <a:endParaRPr lang="en-US" sz="1100" baseline="0"/>
        </a:p>
        <a:p>
          <a:endParaRPr lang="en-US" sz="1100" baseline="0"/>
        </a:p>
        <a:p>
          <a:endParaRPr lang="en-US" sz="1100"/>
        </a:p>
        <a:p>
          <a:endParaRPr lang="en-US" sz="1100"/>
        </a:p>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AS-ALESTIS\FATIGA_Users\Documents%20and%20Settings\US76041446\Desktop\FATIGA\A350XWB-BF_FITTING_MSN001_Iss1.0_Wall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UA46840022/Local%20Settings/Temporary%20Internet%20Files/Content.Outlook/Y9J8B3AH/A350_BF_Serrated_Shackle_V-2%201%20(4).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Y:\ESTRUCTURA-Z4\03_Stress\USERS\FER\Results\tools\01_RODS_TO_FUS\A350XWB-BF_RODS_FUS_MSN005_Iss1_72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lucas.bernacer/Documents/Herramienta%20LUG/lugGUI_last_version/Lug_ISAMI_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_ISSUE"/>
      <sheetName val="CALCULATION_STATUS"/>
      <sheetName val="Sizing"/>
      <sheetName val="Forces_Inputs"/>
      <sheetName val="ISAMI_INPUT"/>
      <sheetName val="Standards"/>
      <sheetName val="Lug&amp;Pin_Summary"/>
      <sheetName val="Sizing_Summary"/>
      <sheetName val="A350XWB-BF_FITTING_MSN001_Iss1"/>
      <sheetName val="Bush&amp;Pin_Data"/>
      <sheetName val="Properties_Materials"/>
    </sheetNames>
    <sheetDataSet>
      <sheetData sheetId="0" refreshError="1"/>
      <sheetData sheetId="1" refreshError="1"/>
      <sheetData sheetId="2" refreshError="1"/>
      <sheetData sheetId="3" refreshError="1">
        <row r="1">
          <cell r="D1" t="str">
            <v>ULTIMATE LOAD</v>
          </cell>
          <cell r="E1">
            <v>0</v>
          </cell>
          <cell r="G1">
            <v>0</v>
          </cell>
          <cell r="H1">
            <v>0</v>
          </cell>
        </row>
        <row r="2">
          <cell r="D2">
            <v>0</v>
          </cell>
          <cell r="E2">
            <v>0</v>
          </cell>
          <cell r="G2">
            <v>0</v>
          </cell>
          <cell r="H2">
            <v>0</v>
          </cell>
        </row>
        <row r="3">
          <cell r="D3" t="str">
            <v>Force (N)</v>
          </cell>
          <cell r="E3" t="str">
            <v>Load Case</v>
          </cell>
          <cell r="G3" t="str">
            <v>Force (N)</v>
          </cell>
          <cell r="H3" t="str">
            <v>Load Case</v>
          </cell>
          <cell r="I3" t="str">
            <v>Pin Pretension Load [N]</v>
          </cell>
        </row>
        <row r="4">
          <cell r="D4">
            <v>8214.5446595986268</v>
          </cell>
          <cell r="E4" t="str">
            <v>BF_TL0_R___90___CXFB014015_3000022_3_SECD_GRD</v>
          </cell>
          <cell r="G4">
            <v>-7431.3154723674998</v>
          </cell>
          <cell r="H4" t="str">
            <v>BF_TL0_R_P_90___CMVS043001_3029212_3_SDHD_F10</v>
          </cell>
          <cell r="I4">
            <v>5599.33</v>
          </cell>
        </row>
        <row r="5">
          <cell r="D5">
            <v>8126.7845730007939</v>
          </cell>
          <cell r="E5" t="str">
            <v>BF_TL0_R___90___CXFB014015_3000022_3_SECD_GRD</v>
          </cell>
          <cell r="G5">
            <v>-6522.8062768887694</v>
          </cell>
          <cell r="H5" t="str">
            <v>BF_TL0_R___90___CGVB00106F_3028212_3_SDHD_F10</v>
          </cell>
          <cell r="I5">
            <v>5599.33</v>
          </cell>
        </row>
        <row r="6">
          <cell r="D6">
            <v>10685.381879204697</v>
          </cell>
          <cell r="E6" t="str">
            <v>BF_TL0_R___90___CXFB014015_3000022_3_SECD_GRD</v>
          </cell>
          <cell r="G6">
            <v>-10952.184473744603</v>
          </cell>
          <cell r="H6" t="str">
            <v>BF_TL0_U_P_90___CMVA030003_308200_3_SDHD_F10</v>
          </cell>
          <cell r="I6">
            <v>5599.33</v>
          </cell>
        </row>
        <row r="7">
          <cell r="D7">
            <v>9966.7332247422419</v>
          </cell>
          <cell r="E7" t="str">
            <v>BF_TL0_R___90___CXFB014015_3000022_3_SECD_GRD</v>
          </cell>
          <cell r="G7">
            <v>-9456.0278912565682</v>
          </cell>
          <cell r="H7" t="str">
            <v>BF_TL0_U_P_90___CMVA030003_308200_3_SDHD_F10</v>
          </cell>
          <cell r="I7">
            <v>5599.33</v>
          </cell>
        </row>
        <row r="8">
          <cell r="D8">
            <v>11339.662194941193</v>
          </cell>
          <cell r="E8" t="str">
            <v>BF_TL0_R_P_90___CGVB7DD0F5_3028111_3_SDHD_F10</v>
          </cell>
          <cell r="G8">
            <v>-7956.8655767687815</v>
          </cell>
          <cell r="H8" t="str">
            <v>BF_TL0_R_P_90___CMVS043001_3029212_3_SDHD_F10</v>
          </cell>
          <cell r="I8">
            <v>10951.44</v>
          </cell>
        </row>
        <row r="9">
          <cell r="D9">
            <v>11339.662194941193</v>
          </cell>
          <cell r="E9" t="str">
            <v>BF_TL0_R_P_90___CGVB7DD0F5_3028111_3_SDHD_F10</v>
          </cell>
          <cell r="G9">
            <v>-7956.8655767687815</v>
          </cell>
          <cell r="H9" t="str">
            <v>BF_TL0_R_P_90___CMVS043001_3029212_3_SDHD_F10</v>
          </cell>
          <cell r="I9">
            <v>10951.44</v>
          </cell>
        </row>
        <row r="10">
          <cell r="D10">
            <v>11166.65026801957</v>
          </cell>
          <cell r="E10" t="str">
            <v>BF_TL0_R___90___CG1N04702B_3202522_3_SDHD_TOF</v>
          </cell>
          <cell r="G10">
            <v>-8172.9055025367052</v>
          </cell>
          <cell r="H10" t="str">
            <v>BF_TL0_L_P_90___CMVA030003_3082311_3_SDHD_F10</v>
          </cell>
          <cell r="I10">
            <v>10951.44</v>
          </cell>
        </row>
        <row r="11">
          <cell r="D11">
            <v>11166.65026801957</v>
          </cell>
          <cell r="E11" t="str">
            <v>BF_TL0_R___90___CG1N04702B_3202522_3_SDHD_TOF</v>
          </cell>
          <cell r="G11">
            <v>-8172.9055025367052</v>
          </cell>
          <cell r="H11" t="str">
            <v>BF_TL0_L_P_90___CMVA030003_3082311_3_SDHD_F10</v>
          </cell>
          <cell r="I11">
            <v>10951.44</v>
          </cell>
        </row>
        <row r="12">
          <cell r="D12">
            <v>10511.826792643911</v>
          </cell>
          <cell r="E12" t="str">
            <v>BF_TL0_L_P_90___CGTL05912F_3011311_3_SECD_F41</v>
          </cell>
          <cell r="G12">
            <v>-28802.077919186075</v>
          </cell>
          <cell r="H12" t="str">
            <v>BF_TL0_U_P_90___CMVS860001_301400_3_SECD_F41</v>
          </cell>
          <cell r="I12">
            <v>13090.05</v>
          </cell>
        </row>
        <row r="13">
          <cell r="D13">
            <v>10093.971023544776</v>
          </cell>
          <cell r="E13" t="str">
            <v>BF_TL0_U___90___CMVA079001_301900_3_SDHD_TOF</v>
          </cell>
          <cell r="G13">
            <v>-30008.701324855101</v>
          </cell>
          <cell r="H13" t="str">
            <v>BF_TL0_U_P_90___CMVS860001_301400_3_SECD_F41</v>
          </cell>
          <cell r="I13">
            <v>13090.05</v>
          </cell>
        </row>
        <row r="14">
          <cell r="D14">
            <v>22451.436007576642</v>
          </cell>
          <cell r="E14" t="str">
            <v>BF_TL0_U_P_90___CMWA016006_305700_3_SDHD_F10</v>
          </cell>
          <cell r="G14">
            <v>-7860.7263378627867</v>
          </cell>
          <cell r="H14" t="str">
            <v>BF_TL0_L___90___CMVA07D001_3024412_3_SECD_F30</v>
          </cell>
          <cell r="I14">
            <v>10951.44</v>
          </cell>
        </row>
        <row r="15">
          <cell r="D15">
            <v>22451.436007576642</v>
          </cell>
          <cell r="E15" t="str">
            <v>BF_TL0_U_P_90___CMWA016006_305700_3_SDHD_F10</v>
          </cell>
          <cell r="G15">
            <v>-7860.7263378627867</v>
          </cell>
          <cell r="H15" t="str">
            <v>BF_TL0_L___90___CMVA07D001_3024412_3_SECD_F30</v>
          </cell>
          <cell r="I15">
            <v>10951.44</v>
          </cell>
        </row>
        <row r="16">
          <cell r="D16">
            <v>22384.904289449685</v>
          </cell>
          <cell r="E16" t="str">
            <v>BF_TL0_U_P_90___CMWA016006_305700_3_SDHD_F10</v>
          </cell>
          <cell r="G16">
            <v>-8112.8447681592734</v>
          </cell>
          <cell r="H16" t="str">
            <v>BF_TL0_R___90___CXFL046001_3000023_3_SECD_GRD</v>
          </cell>
          <cell r="I16">
            <v>10951.44</v>
          </cell>
        </row>
        <row r="17">
          <cell r="D17">
            <v>22384.904289449685</v>
          </cell>
          <cell r="E17" t="str">
            <v>BF_TL0_U_P_90___CMWA016006_305700_3_SDHD_F10</v>
          </cell>
          <cell r="G17">
            <v>-8112.8447681592734</v>
          </cell>
          <cell r="H17" t="str">
            <v>BF_TL0_R___90___CXFL046001_3000023_3_SECD_GRD</v>
          </cell>
          <cell r="I17">
            <v>10951.44</v>
          </cell>
        </row>
        <row r="18">
          <cell r="D18">
            <v>4358.2486327783645</v>
          </cell>
          <cell r="E18" t="str">
            <v>BF_TL0_L___90___CMVA090001_3031413_3_SDHD_TOF</v>
          </cell>
          <cell r="G18">
            <v>-8443.9787626207781</v>
          </cell>
          <cell r="H18" t="str">
            <v>BF_TL0_U_P_90___CMVA030003_308200_3_SECD_F41</v>
          </cell>
          <cell r="I18">
            <v>10236.450000000001</v>
          </cell>
        </row>
        <row r="19">
          <cell r="D19">
            <v>4358.2486327783645</v>
          </cell>
          <cell r="E19" t="str">
            <v>BF_TL0_L___90___CMVA090001_3031413_3_SDHD_TOF</v>
          </cell>
          <cell r="G19">
            <v>-8443.9787626207781</v>
          </cell>
          <cell r="H19" t="str">
            <v>BF_TL0_U_P_90___CMVA030003_308200_3_SECD_F41</v>
          </cell>
          <cell r="I19">
            <v>10236.450000000001</v>
          </cell>
        </row>
        <row r="20">
          <cell r="D20">
            <v>4012.9137887897487</v>
          </cell>
          <cell r="E20" t="str">
            <v>BF_TL0_L___90___CMVA090001_3031413_3_SDHD_TOF</v>
          </cell>
          <cell r="G20">
            <v>-8253.3423201861788</v>
          </cell>
          <cell r="H20" t="str">
            <v>BF_TL0_U_P_90___CMVA030003_308200_3_SECD_F41</v>
          </cell>
          <cell r="I20">
            <v>10236.450000000001</v>
          </cell>
        </row>
        <row r="21">
          <cell r="D21">
            <v>4012.9137887897487</v>
          </cell>
          <cell r="E21" t="str">
            <v>BF_TL0_L___90___CMVA090001_3031413_3_SDHD_TOF</v>
          </cell>
          <cell r="G21">
            <v>-8253.3423201861788</v>
          </cell>
          <cell r="H21" t="str">
            <v>BF_TL0_U_P_90___CMVA030003_308200_3_SECD_F41</v>
          </cell>
          <cell r="I21">
            <v>10236.450000000001</v>
          </cell>
        </row>
        <row r="22">
          <cell r="D22">
            <v>11622.408935677944</v>
          </cell>
          <cell r="E22" t="str">
            <v>BF_TL0_R___90___CXFL045001_3000022_3_SDHD_GRD</v>
          </cell>
          <cell r="G22">
            <v>-40139.323606944221</v>
          </cell>
          <cell r="H22" t="str">
            <v>BF_TL0_U_P_90___CMVA030003_308200_3_SECD_F41</v>
          </cell>
          <cell r="I22">
            <v>10951.44</v>
          </cell>
        </row>
        <row r="23">
          <cell r="D23">
            <v>11440.725845635772</v>
          </cell>
          <cell r="E23" t="str">
            <v>BF_TL0_R___90___CXFL046001_3000022_3_SDHD_GRD</v>
          </cell>
          <cell r="G23">
            <v>-39879.963722166598</v>
          </cell>
          <cell r="H23" t="str">
            <v>BF_TL0_U_P_90___CMVA030003_308200_3_SECD_F41</v>
          </cell>
          <cell r="I23">
            <v>10951.44</v>
          </cell>
        </row>
        <row r="24">
          <cell r="D24">
            <v>32410.141167014644</v>
          </cell>
          <cell r="E24" t="str">
            <v>BF_TL0_U_P_90___CMLU0EO001_321050_3_SECD_F41</v>
          </cell>
          <cell r="G24">
            <v>-69288.734565347113</v>
          </cell>
          <cell r="H24" t="str">
            <v>BF_TL0_U_P_90___CMVB00B007_308100_3_SECD_F41</v>
          </cell>
          <cell r="I24">
            <v>16839.509999999998</v>
          </cell>
        </row>
        <row r="25">
          <cell r="D25">
            <v>69288.734565347127</v>
          </cell>
          <cell r="E25" t="str">
            <v>BF_TL0_U_P_90___CMVB00B007_308100_3_SECD_F41</v>
          </cell>
          <cell r="G25">
            <v>-29202.89272132624</v>
          </cell>
          <cell r="H25" t="str">
            <v>BF_TL0_L___90___CMVA044008_3084412_3_SDHD_TOF</v>
          </cell>
          <cell r="I25">
            <v>16839.509999999998</v>
          </cell>
        </row>
        <row r="26">
          <cell r="D26">
            <v>30932.032893008251</v>
          </cell>
          <cell r="E26" t="str">
            <v>BF_TL0_U_P_90___CMLU0EO001_321000_3_SECD_F41</v>
          </cell>
          <cell r="G26">
            <v>-68403.905117003931</v>
          </cell>
          <cell r="H26" t="str">
            <v>BF_TL0_U_P_90___CMVB00B007_308100_3_SECD_F41</v>
          </cell>
          <cell r="I26">
            <v>16839.509999999998</v>
          </cell>
        </row>
        <row r="27">
          <cell r="D27">
            <v>30932.032893008251</v>
          </cell>
          <cell r="E27" t="str">
            <v>BF_TL0_U_P_90___CMLU0EO001_321000_3_SECD_F41</v>
          </cell>
          <cell r="G27">
            <v>-68403.905117003931</v>
          </cell>
          <cell r="H27" t="str">
            <v>BF_TL0_U_P_90___CMVB00B007_308100_3_SECD_F41</v>
          </cell>
          <cell r="I27">
            <v>16839.509999999998</v>
          </cell>
        </row>
        <row r="28">
          <cell r="D28">
            <v>21325.096843644173</v>
          </cell>
          <cell r="E28" t="str">
            <v>BF_TL0_U___90___CXFL045001_3_SDHD_GRD</v>
          </cell>
          <cell r="G28">
            <v>-19571.679389886376</v>
          </cell>
          <cell r="H28" t="str">
            <v>BF_TL0_U_P_90___CMVB00B007_308100_3_SDHD_F10</v>
          </cell>
          <cell r="I28">
            <v>10951.44</v>
          </cell>
        </row>
        <row r="29">
          <cell r="D29">
            <v>21325.096843644173</v>
          </cell>
          <cell r="E29" t="str">
            <v>BF_TL0_U___90___CXFL045001_3_SDHD_GRD</v>
          </cell>
          <cell r="G29">
            <v>-19571.679389886376</v>
          </cell>
          <cell r="H29" t="str">
            <v>BF_TL0_U_P_90___CMVB00B007_308100_3_SDHD_F10</v>
          </cell>
          <cell r="I29">
            <v>10951.44</v>
          </cell>
        </row>
        <row r="30">
          <cell r="D30">
            <v>21211.658789123878</v>
          </cell>
          <cell r="E30" t="str">
            <v>BF_TL0_U___90___CXFL046001_3_SDHD_GRD</v>
          </cell>
          <cell r="G30">
            <v>-19641.400804605757</v>
          </cell>
          <cell r="H30" t="str">
            <v>BF_TL0_U_P_90___CMVB00B007_308100_3_SDHD_F10</v>
          </cell>
          <cell r="I30">
            <v>10951.44</v>
          </cell>
        </row>
        <row r="31">
          <cell r="D31">
            <v>21211.658789123878</v>
          </cell>
          <cell r="E31" t="str">
            <v>BF_TL0_U___90___CXFL046001_3_SDHD_GRD</v>
          </cell>
          <cell r="G31">
            <v>-19641.400804605757</v>
          </cell>
          <cell r="H31" t="str">
            <v>BF_TL0_U_P_90___CMVB00B007_308100_3_SDHD_F10</v>
          </cell>
          <cell r="I31">
            <v>10951.44</v>
          </cell>
        </row>
        <row r="32">
          <cell r="D32">
            <v>25326.172721237366</v>
          </cell>
          <cell r="E32" t="str">
            <v>BF_TL0_R___90___CXLF131001_3000024_3_SDHD_15M</v>
          </cell>
          <cell r="G32">
            <v>-21867.890351967493</v>
          </cell>
          <cell r="H32" t="str">
            <v>BF_TL0_L_P_90___CMVB00B007_3081415_3_SDHD_F10</v>
          </cell>
          <cell r="I32">
            <v>10951.44</v>
          </cell>
        </row>
        <row r="33">
          <cell r="D33">
            <v>25326.172721237366</v>
          </cell>
          <cell r="E33" t="str">
            <v>BF_TL0_R___90___CXLF131001_3000024_3_SDHD_15M</v>
          </cell>
          <cell r="G33">
            <v>-21867.890351967493</v>
          </cell>
          <cell r="H33" t="str">
            <v>BF_TL0_L_P_90___CMVB00B007_3081415_3_SDHD_F10</v>
          </cell>
          <cell r="I33">
            <v>10951.44</v>
          </cell>
        </row>
        <row r="34">
          <cell r="D34">
            <v>25789.735416852011</v>
          </cell>
          <cell r="E34" t="str">
            <v>BF_TL0_R___90___CXLF131001_3000024_3_SDHD_15M</v>
          </cell>
          <cell r="G34">
            <v>-22100.369608543155</v>
          </cell>
          <cell r="H34" t="str">
            <v>BF_TL0_L_P_90___CMVB00B007_3081415_3_SDHD_F10</v>
          </cell>
          <cell r="I34">
            <v>10951.44</v>
          </cell>
        </row>
        <row r="35">
          <cell r="D35">
            <v>25789.735416852011</v>
          </cell>
          <cell r="E35" t="str">
            <v>BF_TL0_R___90___CXLF131001_3000024_3_SDHD_15M</v>
          </cell>
          <cell r="G35">
            <v>-22100.369608543155</v>
          </cell>
          <cell r="H35" t="str">
            <v>BF_TL0_L_P_90___CMVB00B007_3081415_3_SDHD_F10</v>
          </cell>
          <cell r="I35">
            <v>10951.44</v>
          </cell>
        </row>
        <row r="36">
          <cell r="D36">
            <v>37053.474712418792</v>
          </cell>
          <cell r="E36" t="str">
            <v>BF_TL0_U_P_90___CMWA016006_305700_3_SDHD_F10</v>
          </cell>
          <cell r="G36">
            <v>-19358.573353640611</v>
          </cell>
          <cell r="H36" t="str">
            <v>BF_TL0_L___90___CMVA036006_3060415_3_SECD_F30</v>
          </cell>
          <cell r="I36">
            <v>13090.05</v>
          </cell>
        </row>
        <row r="37">
          <cell r="D37">
            <v>37053.474712418792</v>
          </cell>
          <cell r="E37" t="str">
            <v>BF_TL0_U_P_90___CMWA016006_305700_3_SDHD_F10</v>
          </cell>
          <cell r="G37">
            <v>-19358.573353640611</v>
          </cell>
          <cell r="H37" t="str">
            <v>BF_TL0_L___90___CMVA036006_3060415_3_SECD_F30</v>
          </cell>
          <cell r="I37">
            <v>13090.05</v>
          </cell>
        </row>
        <row r="38">
          <cell r="D38">
            <v>28903.236486326889</v>
          </cell>
          <cell r="E38" t="str">
            <v>BF_TL0_U_P_90___CMWA016006_305700_3_SDHD_F10</v>
          </cell>
          <cell r="G38">
            <v>-20453.007189057618</v>
          </cell>
          <cell r="H38" t="str">
            <v>BF_TL0_L___90___CMVA036006_3060415_3_SECD_F30</v>
          </cell>
          <cell r="I38">
            <v>13090.05</v>
          </cell>
        </row>
        <row r="39">
          <cell r="D39">
            <v>28903.236486326889</v>
          </cell>
          <cell r="E39" t="str">
            <v>BF_TL0_U_P_90___CMWA016006_305700_3_SDHD_F10</v>
          </cell>
          <cell r="G39">
            <v>-20453.007189057618</v>
          </cell>
          <cell r="H39" t="str">
            <v>BF_TL0_L___90___CMVA036006_3060415_3_SECD_F30</v>
          </cell>
          <cell r="I39">
            <v>13090.05</v>
          </cell>
        </row>
        <row r="40">
          <cell r="D40">
            <v>8604.2535019883035</v>
          </cell>
          <cell r="E40" t="str">
            <v>BF_TL0_R_P_90___CMVA030003_3082414_3_SDHD_F10</v>
          </cell>
          <cell r="G40">
            <v>-10111.420560713919</v>
          </cell>
          <cell r="H40" t="str">
            <v>BF_TL0_R___90___CGVB7DD0F5_3028024_3_SECD_F30</v>
          </cell>
          <cell r="I40">
            <v>5599.33</v>
          </cell>
        </row>
        <row r="41">
          <cell r="D41">
            <v>8480.7128286788356</v>
          </cell>
          <cell r="E41" t="str">
            <v>BF_TL0_R_P_90___CMVA030003_3082414_3_SDHD_F10</v>
          </cell>
          <cell r="G41">
            <v>-8660.4142859171679</v>
          </cell>
          <cell r="H41" t="str">
            <v>BF_TL0_R___90___CGVB7DD0F5_3028024_3_SECD_F30</v>
          </cell>
          <cell r="I41">
            <v>5599.33</v>
          </cell>
        </row>
        <row r="42">
          <cell r="D42">
            <v>21983.742141239956</v>
          </cell>
          <cell r="E42" t="str">
            <v>BF_TL0_U_P_90___CMVB00B007_308100</v>
          </cell>
          <cell r="G42">
            <v>-10488.740140021382</v>
          </cell>
          <cell r="H42" t="str">
            <v>BF_TL0_R___90___CGWB02E023_3028024_3_SECD_F30</v>
          </cell>
          <cell r="I42">
            <v>10236.450000000001</v>
          </cell>
        </row>
        <row r="43">
          <cell r="D43">
            <v>21478.905357581159</v>
          </cell>
          <cell r="E43" t="str">
            <v>BF_TL0_U_P_90___CMVB00B007_308100</v>
          </cell>
          <cell r="G43">
            <v>-11627.739051211631</v>
          </cell>
          <cell r="H43" t="str">
            <v>BF_TL0_R___90___CGWB02E023_3028024_3_SECD_F30</v>
          </cell>
          <cell r="I43">
            <v>10236.450000000001</v>
          </cell>
        </row>
        <row r="44">
          <cell r="D44">
            <v>15227.735200337991</v>
          </cell>
          <cell r="E44" t="str">
            <v>BF_TL0_U___90___CXLF131001_3_SDHD_15M</v>
          </cell>
          <cell r="G44">
            <v>-13473.192661324603</v>
          </cell>
          <cell r="H44" t="str">
            <v>BF_TL0_R___90___CGWB02E023_3028024_3_SECD_F30</v>
          </cell>
          <cell r="I44">
            <v>5599.33</v>
          </cell>
        </row>
        <row r="45">
          <cell r="D45">
            <v>16099.865819097071</v>
          </cell>
          <cell r="E45" t="str">
            <v>BF_TL0_U___90___CXLF131001_3_SDHD_15M</v>
          </cell>
          <cell r="G45">
            <v>-13734.911942278241</v>
          </cell>
          <cell r="H45" t="str">
            <v>BF_TL0_R___90___CGWB02E023_3028024_3_SECD_F30</v>
          </cell>
          <cell r="I45">
            <v>5599.33</v>
          </cell>
        </row>
        <row r="46">
          <cell r="D46">
            <v>0</v>
          </cell>
          <cell r="E46">
            <v>0</v>
          </cell>
          <cell r="G46">
            <v>0</v>
          </cell>
          <cell r="H46">
            <v>0</v>
          </cell>
          <cell r="I46">
            <v>0</v>
          </cell>
        </row>
        <row r="47">
          <cell r="D47">
            <v>0</v>
          </cell>
          <cell r="E47">
            <v>0</v>
          </cell>
          <cell r="G47">
            <v>0</v>
          </cell>
          <cell r="H47">
            <v>0</v>
          </cell>
          <cell r="I47">
            <v>0</v>
          </cell>
        </row>
        <row r="48">
          <cell r="D48">
            <v>0</v>
          </cell>
          <cell r="E48">
            <v>0</v>
          </cell>
          <cell r="G48">
            <v>0</v>
          </cell>
          <cell r="H48">
            <v>0</v>
          </cell>
          <cell r="I48">
            <v>0</v>
          </cell>
        </row>
        <row r="49">
          <cell r="D49">
            <v>0</v>
          </cell>
          <cell r="E49">
            <v>0</v>
          </cell>
          <cell r="G49">
            <v>0</v>
          </cell>
          <cell r="H49">
            <v>0</v>
          </cell>
          <cell r="I49">
            <v>0</v>
          </cell>
        </row>
        <row r="50">
          <cell r="D50">
            <v>0</v>
          </cell>
          <cell r="E50">
            <v>0</v>
          </cell>
          <cell r="G50">
            <v>0</v>
          </cell>
          <cell r="H50">
            <v>0</v>
          </cell>
          <cell r="I50">
            <v>0</v>
          </cell>
        </row>
        <row r="51">
          <cell r="D51">
            <v>0</v>
          </cell>
          <cell r="E51">
            <v>0</v>
          </cell>
          <cell r="G51">
            <v>0</v>
          </cell>
          <cell r="H51">
            <v>0</v>
          </cell>
          <cell r="I51">
            <v>0</v>
          </cell>
        </row>
        <row r="52">
          <cell r="D52">
            <v>0</v>
          </cell>
          <cell r="E52">
            <v>0</v>
          </cell>
          <cell r="G52">
            <v>0</v>
          </cell>
          <cell r="H52">
            <v>0</v>
          </cell>
          <cell r="I52">
            <v>0</v>
          </cell>
        </row>
        <row r="53">
          <cell r="D53">
            <v>0</v>
          </cell>
          <cell r="E53">
            <v>0</v>
          </cell>
          <cell r="G53">
            <v>0</v>
          </cell>
          <cell r="H53">
            <v>0</v>
          </cell>
          <cell r="I53">
            <v>0</v>
          </cell>
        </row>
        <row r="54">
          <cell r="D54">
            <v>0</v>
          </cell>
          <cell r="E54">
            <v>0</v>
          </cell>
          <cell r="G54">
            <v>0</v>
          </cell>
          <cell r="H54">
            <v>0</v>
          </cell>
          <cell r="I54">
            <v>0</v>
          </cell>
        </row>
        <row r="55">
          <cell r="D55">
            <v>0</v>
          </cell>
          <cell r="E55">
            <v>0</v>
          </cell>
          <cell r="G55">
            <v>0</v>
          </cell>
          <cell r="H55">
            <v>0</v>
          </cell>
          <cell r="I55">
            <v>0</v>
          </cell>
        </row>
        <row r="56">
          <cell r="D56">
            <v>0</v>
          </cell>
          <cell r="E56">
            <v>0</v>
          </cell>
          <cell r="G56">
            <v>0</v>
          </cell>
          <cell r="H56">
            <v>0</v>
          </cell>
          <cell r="I56">
            <v>0</v>
          </cell>
        </row>
        <row r="57">
          <cell r="D57">
            <v>0</v>
          </cell>
          <cell r="E57">
            <v>0</v>
          </cell>
          <cell r="G57">
            <v>0</v>
          </cell>
          <cell r="H57">
            <v>0</v>
          </cell>
          <cell r="I57">
            <v>0</v>
          </cell>
        </row>
        <row r="58">
          <cell r="D58">
            <v>0</v>
          </cell>
          <cell r="E58">
            <v>0</v>
          </cell>
          <cell r="G58">
            <v>0</v>
          </cell>
          <cell r="H58">
            <v>0</v>
          </cell>
          <cell r="I58">
            <v>0</v>
          </cell>
        </row>
        <row r="59">
          <cell r="D59">
            <v>0</v>
          </cell>
          <cell r="E59">
            <v>0</v>
          </cell>
          <cell r="G59">
            <v>0</v>
          </cell>
          <cell r="H59">
            <v>0</v>
          </cell>
          <cell r="I59">
            <v>0</v>
          </cell>
        </row>
        <row r="60">
          <cell r="D60">
            <v>0</v>
          </cell>
          <cell r="E60">
            <v>0</v>
          </cell>
          <cell r="G60">
            <v>0</v>
          </cell>
          <cell r="H60">
            <v>0</v>
          </cell>
          <cell r="I60">
            <v>0</v>
          </cell>
        </row>
        <row r="61">
          <cell r="D61">
            <v>0</v>
          </cell>
          <cell r="E61">
            <v>0</v>
          </cell>
          <cell r="G61">
            <v>0</v>
          </cell>
          <cell r="H61">
            <v>0</v>
          </cell>
          <cell r="I61">
            <v>0</v>
          </cell>
        </row>
        <row r="62">
          <cell r="D62">
            <v>0</v>
          </cell>
          <cell r="E62">
            <v>0</v>
          </cell>
          <cell r="G62">
            <v>0</v>
          </cell>
          <cell r="H62">
            <v>0</v>
          </cell>
          <cell r="I62">
            <v>0</v>
          </cell>
        </row>
        <row r="63">
          <cell r="D63">
            <v>0</v>
          </cell>
          <cell r="E63">
            <v>0</v>
          </cell>
          <cell r="G63">
            <v>0</v>
          </cell>
          <cell r="H63">
            <v>0</v>
          </cell>
          <cell r="I63">
            <v>0</v>
          </cell>
        </row>
        <row r="64">
          <cell r="D64">
            <v>0</v>
          </cell>
          <cell r="E64">
            <v>0</v>
          </cell>
          <cell r="G64">
            <v>0</v>
          </cell>
          <cell r="H64">
            <v>0</v>
          </cell>
          <cell r="I64">
            <v>0</v>
          </cell>
        </row>
        <row r="65">
          <cell r="D65">
            <v>0</v>
          </cell>
          <cell r="E65">
            <v>0</v>
          </cell>
          <cell r="G65">
            <v>0</v>
          </cell>
          <cell r="H65">
            <v>0</v>
          </cell>
          <cell r="I65">
            <v>0</v>
          </cell>
        </row>
        <row r="66">
          <cell r="D66">
            <v>0</v>
          </cell>
          <cell r="E66">
            <v>0</v>
          </cell>
          <cell r="G66">
            <v>0</v>
          </cell>
          <cell r="H66">
            <v>0</v>
          </cell>
          <cell r="I66">
            <v>0</v>
          </cell>
        </row>
        <row r="67">
          <cell r="D67">
            <v>0</v>
          </cell>
          <cell r="E67">
            <v>0</v>
          </cell>
          <cell r="G67">
            <v>0</v>
          </cell>
          <cell r="H67">
            <v>0</v>
          </cell>
          <cell r="I67">
            <v>0</v>
          </cell>
        </row>
        <row r="68">
          <cell r="D68">
            <v>0</v>
          </cell>
          <cell r="E68">
            <v>0</v>
          </cell>
          <cell r="G68">
            <v>0</v>
          </cell>
          <cell r="H68">
            <v>0</v>
          </cell>
          <cell r="I68">
            <v>0</v>
          </cell>
        </row>
        <row r="69">
          <cell r="D69">
            <v>0</v>
          </cell>
          <cell r="E69">
            <v>0</v>
          </cell>
          <cell r="G69">
            <v>0</v>
          </cell>
          <cell r="H69">
            <v>0</v>
          </cell>
          <cell r="I69">
            <v>0</v>
          </cell>
        </row>
        <row r="70">
          <cell r="D70">
            <v>0</v>
          </cell>
          <cell r="E70">
            <v>0</v>
          </cell>
          <cell r="G70">
            <v>0</v>
          </cell>
          <cell r="H70">
            <v>0</v>
          </cell>
          <cell r="I70">
            <v>0</v>
          </cell>
        </row>
        <row r="71">
          <cell r="D71">
            <v>0</v>
          </cell>
          <cell r="E71">
            <v>0</v>
          </cell>
          <cell r="G71">
            <v>0</v>
          </cell>
          <cell r="H71">
            <v>0</v>
          </cell>
          <cell r="I71">
            <v>0</v>
          </cell>
        </row>
        <row r="72">
          <cell r="D72">
            <v>0</v>
          </cell>
          <cell r="E72">
            <v>0</v>
          </cell>
          <cell r="G72">
            <v>0</v>
          </cell>
          <cell r="H72">
            <v>0</v>
          </cell>
          <cell r="I72">
            <v>0</v>
          </cell>
        </row>
        <row r="73">
          <cell r="D73">
            <v>0</v>
          </cell>
          <cell r="E73">
            <v>0</v>
          </cell>
          <cell r="G73">
            <v>0</v>
          </cell>
          <cell r="H73">
            <v>0</v>
          </cell>
          <cell r="I73">
            <v>0</v>
          </cell>
        </row>
        <row r="74">
          <cell r="D74">
            <v>0</v>
          </cell>
          <cell r="E74">
            <v>0</v>
          </cell>
          <cell r="G74">
            <v>0</v>
          </cell>
          <cell r="H74">
            <v>0</v>
          </cell>
          <cell r="I74">
            <v>0</v>
          </cell>
        </row>
        <row r="75">
          <cell r="D75">
            <v>0</v>
          </cell>
          <cell r="E75">
            <v>0</v>
          </cell>
          <cell r="G75">
            <v>0</v>
          </cell>
          <cell r="H75">
            <v>0</v>
          </cell>
          <cell r="I75">
            <v>0</v>
          </cell>
        </row>
        <row r="76">
          <cell r="D76">
            <v>0</v>
          </cell>
          <cell r="E76">
            <v>0</v>
          </cell>
          <cell r="G76">
            <v>0</v>
          </cell>
          <cell r="H76">
            <v>0</v>
          </cell>
          <cell r="I76">
            <v>0</v>
          </cell>
        </row>
        <row r="77">
          <cell r="D77">
            <v>0</v>
          </cell>
          <cell r="E77">
            <v>0</v>
          </cell>
          <cell r="G77">
            <v>0</v>
          </cell>
          <cell r="H77">
            <v>0</v>
          </cell>
          <cell r="I77">
            <v>0</v>
          </cell>
        </row>
        <row r="78">
          <cell r="D78">
            <v>0</v>
          </cell>
          <cell r="E78">
            <v>0</v>
          </cell>
          <cell r="G78">
            <v>0</v>
          </cell>
          <cell r="H78">
            <v>0</v>
          </cell>
          <cell r="I78">
            <v>0</v>
          </cell>
        </row>
        <row r="79">
          <cell r="D79">
            <v>0</v>
          </cell>
          <cell r="E79">
            <v>0</v>
          </cell>
          <cell r="G79">
            <v>0</v>
          </cell>
          <cell r="H79">
            <v>0</v>
          </cell>
          <cell r="I79">
            <v>0</v>
          </cell>
        </row>
        <row r="80">
          <cell r="D80">
            <v>0</v>
          </cell>
          <cell r="E80">
            <v>0</v>
          </cell>
          <cell r="G80">
            <v>0</v>
          </cell>
          <cell r="H80">
            <v>0</v>
          </cell>
          <cell r="I80">
            <v>0</v>
          </cell>
        </row>
        <row r="81">
          <cell r="D81">
            <v>0</v>
          </cell>
          <cell r="E81">
            <v>0</v>
          </cell>
          <cell r="G81">
            <v>0</v>
          </cell>
          <cell r="H81">
            <v>0</v>
          </cell>
          <cell r="I81">
            <v>0</v>
          </cell>
        </row>
        <row r="82">
          <cell r="D82">
            <v>0</v>
          </cell>
          <cell r="E82">
            <v>0</v>
          </cell>
          <cell r="G82">
            <v>0</v>
          </cell>
          <cell r="H82">
            <v>0</v>
          </cell>
          <cell r="I82">
            <v>0</v>
          </cell>
        </row>
        <row r="83">
          <cell r="D83">
            <v>0</v>
          </cell>
          <cell r="E83">
            <v>0</v>
          </cell>
          <cell r="G83">
            <v>0</v>
          </cell>
          <cell r="H83">
            <v>0</v>
          </cell>
          <cell r="I83">
            <v>0</v>
          </cell>
        </row>
        <row r="84">
          <cell r="D84">
            <v>0</v>
          </cell>
          <cell r="E84">
            <v>0</v>
          </cell>
          <cell r="G84">
            <v>0</v>
          </cell>
          <cell r="H84">
            <v>0</v>
          </cell>
          <cell r="I84">
            <v>0</v>
          </cell>
        </row>
        <row r="85">
          <cell r="D85">
            <v>0</v>
          </cell>
          <cell r="E85">
            <v>0</v>
          </cell>
          <cell r="G85">
            <v>0</v>
          </cell>
          <cell r="H85">
            <v>0</v>
          </cell>
          <cell r="I85">
            <v>0</v>
          </cell>
        </row>
        <row r="86">
          <cell r="D86">
            <v>0</v>
          </cell>
          <cell r="E86">
            <v>0</v>
          </cell>
          <cell r="G86">
            <v>0</v>
          </cell>
          <cell r="H86">
            <v>0</v>
          </cell>
          <cell r="I86">
            <v>0</v>
          </cell>
        </row>
        <row r="87">
          <cell r="D87">
            <v>0</v>
          </cell>
          <cell r="E87">
            <v>0</v>
          </cell>
          <cell r="G87">
            <v>0</v>
          </cell>
          <cell r="H87">
            <v>0</v>
          </cell>
          <cell r="I87">
            <v>0</v>
          </cell>
        </row>
        <row r="88">
          <cell r="D88">
            <v>0</v>
          </cell>
          <cell r="E88">
            <v>0</v>
          </cell>
          <cell r="G88">
            <v>0</v>
          </cell>
          <cell r="H88">
            <v>0</v>
          </cell>
          <cell r="I88">
            <v>0</v>
          </cell>
        </row>
        <row r="89">
          <cell r="D89">
            <v>0</v>
          </cell>
          <cell r="E89">
            <v>0</v>
          </cell>
          <cell r="G89">
            <v>0</v>
          </cell>
          <cell r="H89">
            <v>0</v>
          </cell>
          <cell r="I89">
            <v>0</v>
          </cell>
        </row>
        <row r="90">
          <cell r="D90">
            <v>0</v>
          </cell>
          <cell r="E90">
            <v>0</v>
          </cell>
          <cell r="G90">
            <v>0</v>
          </cell>
          <cell r="H90">
            <v>0</v>
          </cell>
          <cell r="I90">
            <v>0</v>
          </cell>
        </row>
        <row r="91">
          <cell r="D91">
            <v>0</v>
          </cell>
          <cell r="E91">
            <v>0</v>
          </cell>
          <cell r="G91">
            <v>0</v>
          </cell>
          <cell r="H91">
            <v>0</v>
          </cell>
          <cell r="I91">
            <v>0</v>
          </cell>
        </row>
        <row r="92">
          <cell r="D92">
            <v>0</v>
          </cell>
          <cell r="E92">
            <v>0</v>
          </cell>
          <cell r="G92">
            <v>0</v>
          </cell>
          <cell r="H92">
            <v>0</v>
          </cell>
          <cell r="I92">
            <v>0</v>
          </cell>
        </row>
        <row r="93">
          <cell r="D93">
            <v>0</v>
          </cell>
          <cell r="E93">
            <v>0</v>
          </cell>
          <cell r="G93">
            <v>0</v>
          </cell>
          <cell r="H93">
            <v>0</v>
          </cell>
          <cell r="I93">
            <v>0</v>
          </cell>
        </row>
        <row r="94">
          <cell r="D94">
            <v>0</v>
          </cell>
          <cell r="E94">
            <v>0</v>
          </cell>
          <cell r="G94">
            <v>0</v>
          </cell>
          <cell r="H94">
            <v>0</v>
          </cell>
          <cell r="I94">
            <v>0</v>
          </cell>
        </row>
        <row r="95">
          <cell r="D95">
            <v>0</v>
          </cell>
          <cell r="E95">
            <v>0</v>
          </cell>
          <cell r="G95">
            <v>0</v>
          </cell>
          <cell r="H95">
            <v>0</v>
          </cell>
          <cell r="I95">
            <v>0</v>
          </cell>
        </row>
        <row r="96">
          <cell r="D96">
            <v>0</v>
          </cell>
          <cell r="E96">
            <v>0</v>
          </cell>
          <cell r="G96">
            <v>0</v>
          </cell>
          <cell r="H96">
            <v>0</v>
          </cell>
          <cell r="I96">
            <v>0</v>
          </cell>
        </row>
        <row r="97">
          <cell r="D97">
            <v>0</v>
          </cell>
          <cell r="E97">
            <v>0</v>
          </cell>
          <cell r="G97">
            <v>0</v>
          </cell>
          <cell r="H97">
            <v>0</v>
          </cell>
          <cell r="I97">
            <v>0</v>
          </cell>
        </row>
        <row r="98">
          <cell r="D98">
            <v>0</v>
          </cell>
          <cell r="E98">
            <v>0</v>
          </cell>
          <cell r="G98">
            <v>0</v>
          </cell>
          <cell r="H98">
            <v>0</v>
          </cell>
          <cell r="I98">
            <v>0</v>
          </cell>
        </row>
        <row r="99">
          <cell r="D99">
            <v>0</v>
          </cell>
          <cell r="E99">
            <v>0</v>
          </cell>
          <cell r="G99">
            <v>0</v>
          </cell>
          <cell r="H99">
            <v>0</v>
          </cell>
          <cell r="I99">
            <v>0</v>
          </cell>
        </row>
        <row r="100">
          <cell r="D100">
            <v>0</v>
          </cell>
          <cell r="E100">
            <v>0</v>
          </cell>
          <cell r="G100">
            <v>0</v>
          </cell>
          <cell r="H100">
            <v>0</v>
          </cell>
          <cell r="I100">
            <v>0</v>
          </cell>
        </row>
        <row r="101">
          <cell r="D101">
            <v>0</v>
          </cell>
          <cell r="E101">
            <v>0</v>
          </cell>
          <cell r="G101">
            <v>0</v>
          </cell>
          <cell r="H101">
            <v>0</v>
          </cell>
          <cell r="I101">
            <v>0</v>
          </cell>
        </row>
        <row r="102">
          <cell r="D102">
            <v>0</v>
          </cell>
          <cell r="E102">
            <v>0</v>
          </cell>
          <cell r="G102">
            <v>0</v>
          </cell>
          <cell r="H102">
            <v>0</v>
          </cell>
          <cell r="I102">
            <v>0</v>
          </cell>
        </row>
        <row r="103">
          <cell r="D103">
            <v>0</v>
          </cell>
          <cell r="E103">
            <v>0</v>
          </cell>
          <cell r="G103">
            <v>0</v>
          </cell>
          <cell r="H103">
            <v>0</v>
          </cell>
          <cell r="I103">
            <v>0</v>
          </cell>
        </row>
        <row r="104">
          <cell r="D104">
            <v>0</v>
          </cell>
          <cell r="E104">
            <v>0</v>
          </cell>
          <cell r="G104">
            <v>0</v>
          </cell>
          <cell r="H104">
            <v>0</v>
          </cell>
          <cell r="I104">
            <v>0</v>
          </cell>
        </row>
        <row r="105">
          <cell r="D105">
            <v>0</v>
          </cell>
          <cell r="E105">
            <v>0</v>
          </cell>
          <cell r="G105">
            <v>0</v>
          </cell>
          <cell r="H105">
            <v>0</v>
          </cell>
          <cell r="I105">
            <v>0</v>
          </cell>
        </row>
        <row r="106">
          <cell r="D106">
            <v>0</v>
          </cell>
          <cell r="E106">
            <v>0</v>
          </cell>
          <cell r="G106">
            <v>0</v>
          </cell>
          <cell r="H106">
            <v>0</v>
          </cell>
          <cell r="I106">
            <v>0</v>
          </cell>
        </row>
        <row r="107">
          <cell r="D107">
            <v>0</v>
          </cell>
          <cell r="E107">
            <v>0</v>
          </cell>
          <cell r="G107">
            <v>0</v>
          </cell>
          <cell r="H107">
            <v>0</v>
          </cell>
          <cell r="I107">
            <v>0</v>
          </cell>
        </row>
        <row r="108">
          <cell r="D108">
            <v>0</v>
          </cell>
          <cell r="E108">
            <v>0</v>
          </cell>
          <cell r="G108">
            <v>0</v>
          </cell>
          <cell r="H108">
            <v>0</v>
          </cell>
          <cell r="I108">
            <v>0</v>
          </cell>
        </row>
        <row r="109">
          <cell r="D109">
            <v>0</v>
          </cell>
          <cell r="E109">
            <v>0</v>
          </cell>
          <cell r="G109">
            <v>0</v>
          </cell>
          <cell r="H109">
            <v>0</v>
          </cell>
          <cell r="I109">
            <v>0</v>
          </cell>
        </row>
        <row r="110">
          <cell r="D110">
            <v>0</v>
          </cell>
          <cell r="E110">
            <v>0</v>
          </cell>
          <cell r="G110">
            <v>0</v>
          </cell>
          <cell r="H110">
            <v>0</v>
          </cell>
          <cell r="I110">
            <v>0</v>
          </cell>
        </row>
        <row r="111">
          <cell r="D111">
            <v>0</v>
          </cell>
          <cell r="E111">
            <v>0</v>
          </cell>
          <cell r="G111">
            <v>0</v>
          </cell>
          <cell r="H111">
            <v>0</v>
          </cell>
          <cell r="I111">
            <v>0</v>
          </cell>
        </row>
        <row r="112">
          <cell r="D112">
            <v>0</v>
          </cell>
          <cell r="E112">
            <v>0</v>
          </cell>
          <cell r="G112">
            <v>0</v>
          </cell>
          <cell r="H112">
            <v>0</v>
          </cell>
          <cell r="I112">
            <v>0</v>
          </cell>
        </row>
        <row r="113">
          <cell r="D113">
            <v>0</v>
          </cell>
          <cell r="E113">
            <v>0</v>
          </cell>
          <cell r="G113">
            <v>0</v>
          </cell>
          <cell r="H113">
            <v>0</v>
          </cell>
          <cell r="I113">
            <v>0</v>
          </cell>
        </row>
        <row r="114">
          <cell r="D114">
            <v>0</v>
          </cell>
          <cell r="E114">
            <v>0</v>
          </cell>
          <cell r="G114">
            <v>0</v>
          </cell>
          <cell r="H114">
            <v>0</v>
          </cell>
          <cell r="I114">
            <v>0</v>
          </cell>
        </row>
      </sheetData>
      <sheetData sheetId="4" refreshError="1">
        <row r="5">
          <cell r="C5" t="str">
            <v>7175_T7351_Plate_Preliminary</v>
          </cell>
          <cell r="D5" t="str">
            <v>7050_T7451_Plate_Preliminary</v>
          </cell>
        </row>
        <row r="14">
          <cell r="C14">
            <v>18</v>
          </cell>
        </row>
        <row r="19">
          <cell r="C19" t="str">
            <v>Ti 6Al 4V_Beta Annealed_Plate_Preliminary</v>
          </cell>
        </row>
        <row r="28">
          <cell r="C28" t="str">
            <v>17-4PH_H1025_Sheet_Preliminary</v>
          </cell>
          <cell r="D28" t="str">
            <v>17-4PH_H1025_Sheet_Preliminary</v>
          </cell>
        </row>
      </sheetData>
      <sheetData sheetId="5" refreshError="1">
        <row r="1">
          <cell r="H1">
            <v>0</v>
          </cell>
        </row>
        <row r="3">
          <cell r="H3" t="str">
            <v>Pin Standard</v>
          </cell>
          <cell r="I3" t="str">
            <v/>
          </cell>
          <cell r="J3" t="str">
            <v/>
          </cell>
          <cell r="K3" t="str">
            <v>Material</v>
          </cell>
          <cell r="L3" t="str">
            <v/>
          </cell>
          <cell r="M3" t="str">
            <v/>
          </cell>
          <cell r="N3" t="str">
            <v/>
          </cell>
        </row>
        <row r="4">
          <cell r="H4" t="str">
            <v>ABS0114-3</v>
          </cell>
          <cell r="I4">
            <v>0.1885</v>
          </cell>
          <cell r="J4">
            <v>4.7878999999999996</v>
          </cell>
          <cell r="K4" t="str">
            <v>Ti-6Al-4V 80ºC</v>
          </cell>
          <cell r="L4">
            <v>865.6</v>
          </cell>
          <cell r="M4">
            <v>784.2</v>
          </cell>
          <cell r="N4">
            <v>520.5</v>
          </cell>
          <cell r="O4" t="str">
            <v>NAS77-3</v>
          </cell>
          <cell r="P4">
            <v>0.19</v>
          </cell>
          <cell r="Q4">
            <v>4.8259999999999996</v>
          </cell>
          <cell r="R4">
            <v>0.31359999999999999</v>
          </cell>
          <cell r="S4">
            <v>7.9654399999999992</v>
          </cell>
          <cell r="T4">
            <v>1.5697199999999998</v>
          </cell>
          <cell r="U4">
            <v>6.2E-2</v>
          </cell>
          <cell r="V4">
            <v>1.5748</v>
          </cell>
          <cell r="W4" t="str">
            <v>EN6046-03</v>
          </cell>
          <cell r="X4">
            <v>4.8259999999999996</v>
          </cell>
          <cell r="Y4">
            <v>14.288</v>
          </cell>
          <cell r="Z4">
            <v>7.14</v>
          </cell>
          <cell r="AA4">
            <v>5.54</v>
          </cell>
        </row>
        <row r="5">
          <cell r="H5" t="str">
            <v>ABS0114-4</v>
          </cell>
          <cell r="I5">
            <v>0.2485</v>
          </cell>
          <cell r="J5">
            <v>6.35</v>
          </cell>
          <cell r="K5" t="str">
            <v>Ti-6Al-4V 80ºC</v>
          </cell>
          <cell r="L5">
            <v>865.6</v>
          </cell>
          <cell r="M5">
            <v>784.2</v>
          </cell>
          <cell r="N5">
            <v>520.5</v>
          </cell>
          <cell r="O5" t="str">
            <v>NAS77-4</v>
          </cell>
          <cell r="P5">
            <v>0.25</v>
          </cell>
          <cell r="Q5">
            <v>6.35</v>
          </cell>
          <cell r="R5">
            <v>0.37609999999999999</v>
          </cell>
          <cell r="S5">
            <v>9.5529399999999995</v>
          </cell>
          <cell r="T5">
            <v>1.6014699999999999</v>
          </cell>
          <cell r="U5">
            <v>6.2E-2</v>
          </cell>
          <cell r="V5">
            <v>1.5748</v>
          </cell>
          <cell r="W5" t="str">
            <v>EN6046-04</v>
          </cell>
          <cell r="X5">
            <v>6.35</v>
          </cell>
          <cell r="Y5">
            <v>16.667000000000002</v>
          </cell>
          <cell r="Z5">
            <v>8.7100000000000009</v>
          </cell>
          <cell r="AA5">
            <v>6.35</v>
          </cell>
        </row>
        <row r="6">
          <cell r="H6" t="str">
            <v>ABS0114-5</v>
          </cell>
          <cell r="I6">
            <v>0.311</v>
          </cell>
          <cell r="J6">
            <v>7.9</v>
          </cell>
          <cell r="K6" t="str">
            <v>Ti-6Al-4V 80ºC</v>
          </cell>
          <cell r="L6">
            <v>865.6</v>
          </cell>
          <cell r="M6">
            <v>784.2</v>
          </cell>
          <cell r="N6">
            <v>520.5</v>
          </cell>
          <cell r="O6" t="str">
            <v>NAS77-5</v>
          </cell>
          <cell r="P6">
            <v>0.3125</v>
          </cell>
          <cell r="Q6">
            <v>7.9375</v>
          </cell>
          <cell r="R6">
            <v>0.43859999999999999</v>
          </cell>
          <cell r="S6">
            <v>11.14044</v>
          </cell>
          <cell r="T6">
            <v>1.6014699999999999</v>
          </cell>
          <cell r="U6">
            <v>6.2E-2</v>
          </cell>
          <cell r="V6">
            <v>1.5748</v>
          </cell>
          <cell r="W6" t="str">
            <v>EN6046-05</v>
          </cell>
          <cell r="X6">
            <v>7.9379999999999997</v>
          </cell>
          <cell r="Y6">
            <v>19.05</v>
          </cell>
          <cell r="Z6">
            <v>9.5299999999999994</v>
          </cell>
          <cell r="AA6">
            <v>7.14</v>
          </cell>
        </row>
        <row r="7">
          <cell r="H7" t="str">
            <v>ABS0114-6</v>
          </cell>
          <cell r="I7">
            <v>0.3735</v>
          </cell>
          <cell r="J7">
            <v>9.52</v>
          </cell>
          <cell r="K7" t="str">
            <v>Ti-6Al-4V 80ºC</v>
          </cell>
          <cell r="L7">
            <v>865.6</v>
          </cell>
          <cell r="M7">
            <v>784.2</v>
          </cell>
          <cell r="N7">
            <v>520.5</v>
          </cell>
          <cell r="O7" t="str">
            <v>NAS77-6</v>
          </cell>
          <cell r="P7">
            <v>0.375</v>
          </cell>
          <cell r="Q7">
            <v>9.5249999999999986</v>
          </cell>
          <cell r="R7">
            <v>0.50129999999999997</v>
          </cell>
          <cell r="S7">
            <v>12.733019999999998</v>
          </cell>
          <cell r="T7">
            <v>1.6040099999999997</v>
          </cell>
          <cell r="U7">
            <v>6.2E-2</v>
          </cell>
          <cell r="V7">
            <v>1.5748</v>
          </cell>
          <cell r="W7" t="str">
            <v>EN6046-06</v>
          </cell>
          <cell r="X7">
            <v>9.5250000000000004</v>
          </cell>
          <cell r="Y7">
            <v>20.638000000000002</v>
          </cell>
          <cell r="Z7">
            <v>10.31</v>
          </cell>
          <cell r="AA7">
            <v>7.92</v>
          </cell>
        </row>
        <row r="8">
          <cell r="H8" t="str">
            <v>ABS0114-7</v>
          </cell>
          <cell r="I8">
            <v>0.436</v>
          </cell>
          <cell r="J8">
            <v>11.074399999999999</v>
          </cell>
          <cell r="K8" t="str">
            <v>Ti-6Al-4V 80ºC</v>
          </cell>
          <cell r="L8">
            <v>865.6</v>
          </cell>
          <cell r="M8">
            <v>784.2</v>
          </cell>
          <cell r="N8">
            <v>520.5</v>
          </cell>
          <cell r="O8" t="str">
            <v>NAS77-7</v>
          </cell>
          <cell r="P8">
            <v>0.4375</v>
          </cell>
          <cell r="Q8">
            <v>11.112499999999999</v>
          </cell>
          <cell r="R8">
            <v>0.56379999999999997</v>
          </cell>
          <cell r="S8">
            <v>14.320519999999998</v>
          </cell>
          <cell r="T8">
            <v>1.6040099999999997</v>
          </cell>
          <cell r="U8">
            <v>6.2E-2</v>
          </cell>
          <cell r="V8">
            <v>1.5748</v>
          </cell>
          <cell r="W8" t="str">
            <v>EN6046-07</v>
          </cell>
          <cell r="X8">
            <v>11.113</v>
          </cell>
          <cell r="Y8">
            <v>23.016999999999999</v>
          </cell>
          <cell r="Z8">
            <v>11.1</v>
          </cell>
          <cell r="AA8">
            <v>8.7100000000000009</v>
          </cell>
        </row>
        <row r="9">
          <cell r="H9" t="str">
            <v>ABS0114-8</v>
          </cell>
          <cell r="I9">
            <v>0.4985</v>
          </cell>
          <cell r="J9">
            <v>12.661899999999999</v>
          </cell>
          <cell r="K9" t="str">
            <v>Ti-6Al-4V 80ºC</v>
          </cell>
          <cell r="L9">
            <v>865.6</v>
          </cell>
          <cell r="M9">
            <v>784.2</v>
          </cell>
          <cell r="N9">
            <v>520.5</v>
          </cell>
          <cell r="O9" t="str">
            <v>NAS77-8</v>
          </cell>
          <cell r="P9">
            <v>0.5</v>
          </cell>
          <cell r="Q9">
            <v>12.7</v>
          </cell>
          <cell r="R9">
            <v>0.62649999999999995</v>
          </cell>
          <cell r="S9">
            <v>15.913099999999998</v>
          </cell>
          <cell r="T9">
            <v>1.6065499999999995</v>
          </cell>
          <cell r="U9">
            <v>6.2E-2</v>
          </cell>
          <cell r="V9">
            <v>1.5748</v>
          </cell>
          <cell r="W9" t="str">
            <v>EN6046-08</v>
          </cell>
          <cell r="X9">
            <v>12.7</v>
          </cell>
          <cell r="Y9">
            <v>25.4</v>
          </cell>
          <cell r="Z9">
            <v>12.7</v>
          </cell>
          <cell r="AA9">
            <v>9.91</v>
          </cell>
        </row>
        <row r="10">
          <cell r="H10" t="str">
            <v>ABS0114-9</v>
          </cell>
          <cell r="I10">
            <v>0.5605</v>
          </cell>
          <cell r="J10">
            <v>14.236699999999999</v>
          </cell>
          <cell r="K10" t="str">
            <v>Ti-6Al-4V 80ºC</v>
          </cell>
          <cell r="L10">
            <v>865.6</v>
          </cell>
          <cell r="M10">
            <v>784.2</v>
          </cell>
          <cell r="N10">
            <v>520.5</v>
          </cell>
          <cell r="O10" t="str">
            <v>NAS77-9</v>
          </cell>
          <cell r="P10">
            <v>0.5625</v>
          </cell>
          <cell r="Q10">
            <v>14.2875</v>
          </cell>
          <cell r="R10">
            <v>0.68920000000000003</v>
          </cell>
          <cell r="S10">
            <v>17.505679999999998</v>
          </cell>
          <cell r="T10">
            <v>1.6090899999999992</v>
          </cell>
          <cell r="U10">
            <v>6.2E-2</v>
          </cell>
          <cell r="V10">
            <v>1.5748</v>
          </cell>
          <cell r="W10" t="str">
            <v>EN6046-09</v>
          </cell>
          <cell r="X10">
            <v>14.288</v>
          </cell>
          <cell r="Y10">
            <v>27.78</v>
          </cell>
          <cell r="Z10">
            <v>14.27</v>
          </cell>
          <cell r="AA10">
            <v>11.1</v>
          </cell>
        </row>
        <row r="11">
          <cell r="H11" t="str">
            <v>ABS0114-10</v>
          </cell>
          <cell r="I11">
            <v>0.623</v>
          </cell>
          <cell r="J11">
            <v>15.824199999999999</v>
          </cell>
          <cell r="K11" t="str">
            <v>Ti-6Al-4V 80ºC</v>
          </cell>
          <cell r="L11">
            <v>865.6</v>
          </cell>
          <cell r="M11">
            <v>784.2</v>
          </cell>
          <cell r="N11">
            <v>520.5</v>
          </cell>
          <cell r="O11" t="str">
            <v>NAS77-10</v>
          </cell>
          <cell r="P11">
            <v>0.625</v>
          </cell>
          <cell r="Q11">
            <v>15.875</v>
          </cell>
          <cell r="R11">
            <v>0.81420000000000003</v>
          </cell>
          <cell r="S11">
            <v>20.680679999999999</v>
          </cell>
          <cell r="T11">
            <v>2.4028399999999994</v>
          </cell>
          <cell r="U11">
            <v>6.2E-2</v>
          </cell>
          <cell r="V11">
            <v>1.5748</v>
          </cell>
          <cell r="W11" t="str">
            <v>EN6046-10</v>
          </cell>
          <cell r="X11">
            <v>15.875</v>
          </cell>
          <cell r="Y11">
            <v>30.163</v>
          </cell>
          <cell r="Z11">
            <v>15.88</v>
          </cell>
          <cell r="AA11">
            <v>12.7</v>
          </cell>
        </row>
        <row r="12">
          <cell r="H12" t="str">
            <v>ABS0114-12</v>
          </cell>
          <cell r="I12">
            <v>0.748</v>
          </cell>
          <cell r="J12">
            <v>18.999199999999998</v>
          </cell>
          <cell r="K12" t="str">
            <v>Ti-6Al-4V 80ºC</v>
          </cell>
          <cell r="L12">
            <v>865.6</v>
          </cell>
          <cell r="M12">
            <v>784.2</v>
          </cell>
          <cell r="N12">
            <v>520.5</v>
          </cell>
          <cell r="O12" t="str">
            <v>NAS77-12</v>
          </cell>
          <cell r="P12">
            <v>0.75</v>
          </cell>
          <cell r="Q12">
            <v>19.049999999999997</v>
          </cell>
          <cell r="R12">
            <v>0.93930000000000002</v>
          </cell>
          <cell r="S12">
            <v>23.858219999999999</v>
          </cell>
          <cell r="T12">
            <v>2.4041100000000011</v>
          </cell>
          <cell r="U12">
            <v>6.2E-2</v>
          </cell>
          <cell r="V12">
            <v>1.5748</v>
          </cell>
          <cell r="W12" t="str">
            <v>EN6046-12</v>
          </cell>
          <cell r="X12">
            <v>19.05</v>
          </cell>
          <cell r="Y12">
            <v>36.512999999999998</v>
          </cell>
          <cell r="Z12">
            <v>19.05</v>
          </cell>
          <cell r="AA12">
            <v>15.06</v>
          </cell>
        </row>
      </sheetData>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s-MATB"/>
      <sheetName val="01_Introduction"/>
      <sheetName val="02_HardwareInfo"/>
      <sheetName val="03_MatProps"/>
      <sheetName val="04_Sizing"/>
      <sheetName val="05_Loads"/>
      <sheetName val="06_Strength"/>
      <sheetName val="07_IRB"/>
      <sheetName val="08_ColumnBuckling"/>
      <sheetName val="09_Attachement"/>
      <sheetName val="10_Pin&amp;Lug"/>
    </sheetNames>
    <sheetDataSet>
      <sheetData sheetId="0" refreshError="1"/>
      <sheetData sheetId="1" refreshError="1"/>
      <sheetData sheetId="2">
        <row r="3">
          <cell r="B3" t="str">
            <v>Fastener Standard</v>
          </cell>
          <cell r="C3" t="str">
            <v>DFast [mm]</v>
          </cell>
          <cell r="D3" t="str">
            <v>PTen_All [N]</v>
          </cell>
          <cell r="E3" t="str">
            <v>Cnom [mdaN]</v>
          </cell>
          <cell r="F3" t="str">
            <v>PSS_All [N]</v>
          </cell>
          <cell r="H3" t="str">
            <v>Pin Standard</v>
          </cell>
          <cell r="I3" t="str">
            <v>DPin [In]</v>
          </cell>
          <cell r="J3" t="str">
            <v>DPin [mm]</v>
          </cell>
          <cell r="K3" t="str">
            <v>Material</v>
          </cell>
          <cell r="L3" t="str">
            <v>Ftu [N/mm2]</v>
          </cell>
          <cell r="M3" t="str">
            <v>Fty [N/mm2]</v>
          </cell>
          <cell r="N3" t="str">
            <v>Fsu [N/mm2]</v>
          </cell>
          <cell r="O3" t="str">
            <v>Bushing Standard</v>
          </cell>
          <cell r="P3" t="str">
            <v>DIn [in]</v>
          </cell>
          <cell r="Q3" t="str">
            <v>DIn [mm]</v>
          </cell>
          <cell r="R3" t="str">
            <v>DOut [in]</v>
          </cell>
          <cell r="S3" t="str">
            <v>DOut [mm]</v>
          </cell>
          <cell r="T3" t="str">
            <v>tBush [mm]</v>
          </cell>
          <cell r="U3" t="str">
            <v>tFl [in]</v>
          </cell>
          <cell r="V3" t="str">
            <v>tFl [mm]</v>
          </cell>
          <cell r="W3" t="str">
            <v>Bearing Standard</v>
          </cell>
          <cell r="X3" t="str">
            <v>Inn d [mm]</v>
          </cell>
          <cell r="Y3" t="str">
            <v>Out D [mm]</v>
          </cell>
          <cell r="Z3" t="str">
            <v>B [mm]</v>
          </cell>
          <cell r="AA3" t="str">
            <v>C [mm]</v>
          </cell>
        </row>
        <row r="4">
          <cell r="B4" t="str">
            <v>EN6115V2</v>
          </cell>
          <cell r="C4">
            <v>4.0999999999999996</v>
          </cell>
          <cell r="D4">
            <v>9660</v>
          </cell>
          <cell r="F4">
            <v>8880</v>
          </cell>
          <cell r="H4" t="str">
            <v>ABS0114-3</v>
          </cell>
          <cell r="I4">
            <v>0.1885</v>
          </cell>
          <cell r="J4">
            <v>4.8259999999999996</v>
          </cell>
          <cell r="K4" t="str">
            <v>Ti-6Al-4V</v>
          </cell>
          <cell r="L4">
            <v>1100</v>
          </cell>
          <cell r="M4">
            <v>1034</v>
          </cell>
          <cell r="N4">
            <v>655</v>
          </cell>
          <cell r="O4" t="str">
            <v>NAS77-3</v>
          </cell>
          <cell r="P4">
            <v>0.19</v>
          </cell>
          <cell r="Q4">
            <v>4.8259999999999996</v>
          </cell>
          <cell r="R4">
            <v>0.31359999999999999</v>
          </cell>
          <cell r="S4">
            <v>7.9654399999999992</v>
          </cell>
          <cell r="T4">
            <v>1.5697199999999998</v>
          </cell>
          <cell r="U4">
            <v>6.2E-2</v>
          </cell>
          <cell r="V4">
            <v>1.5748</v>
          </cell>
          <cell r="W4" t="str">
            <v>EN6046-03</v>
          </cell>
          <cell r="X4">
            <v>4.8259999999999996</v>
          </cell>
          <cell r="Y4">
            <v>14.288</v>
          </cell>
          <cell r="Z4">
            <v>7.14</v>
          </cell>
          <cell r="AA4">
            <v>5.54</v>
          </cell>
        </row>
        <row r="5">
          <cell r="B5" t="str">
            <v>EN6115V3</v>
          </cell>
          <cell r="C5">
            <v>4.8</v>
          </cell>
          <cell r="D5">
            <v>14150</v>
          </cell>
          <cell r="E5">
            <v>0.33</v>
          </cell>
          <cell r="F5">
            <v>11950</v>
          </cell>
          <cell r="H5" t="str">
            <v>ABS0114-4</v>
          </cell>
          <cell r="I5">
            <v>0.2485</v>
          </cell>
          <cell r="J5">
            <v>6.35</v>
          </cell>
          <cell r="K5" t="str">
            <v>Ti-6Al-4V</v>
          </cell>
          <cell r="L5">
            <v>1100</v>
          </cell>
          <cell r="M5">
            <v>1034</v>
          </cell>
          <cell r="N5">
            <v>655</v>
          </cell>
          <cell r="O5" t="str">
            <v>NAS77-4</v>
          </cell>
          <cell r="P5">
            <v>0.25</v>
          </cell>
          <cell r="Q5">
            <v>6.35</v>
          </cell>
          <cell r="R5">
            <v>0.37609999999999999</v>
          </cell>
          <cell r="S5">
            <v>9.5529399999999995</v>
          </cell>
          <cell r="T5">
            <v>1.6014699999999999</v>
          </cell>
          <cell r="U5">
            <v>6.2E-2</v>
          </cell>
          <cell r="V5">
            <v>1.5748</v>
          </cell>
          <cell r="W5" t="str">
            <v>EN6046-04</v>
          </cell>
          <cell r="X5">
            <v>6.35</v>
          </cell>
          <cell r="Y5">
            <v>16.667000000000002</v>
          </cell>
          <cell r="Z5">
            <v>8.7100000000000009</v>
          </cell>
          <cell r="AA5">
            <v>6.35</v>
          </cell>
        </row>
        <row r="6">
          <cell r="B6" t="str">
            <v>EN6115V4</v>
          </cell>
          <cell r="C6">
            <v>6.4</v>
          </cell>
          <cell r="D6">
            <v>25900</v>
          </cell>
          <cell r="E6">
            <v>0.73</v>
          </cell>
          <cell r="F6">
            <v>20665</v>
          </cell>
          <cell r="H6" t="str">
            <v>ABS0114-5</v>
          </cell>
          <cell r="I6">
            <v>0.311</v>
          </cell>
          <cell r="J6">
            <v>7.9375</v>
          </cell>
          <cell r="K6" t="str">
            <v>Ti-6Al-4V</v>
          </cell>
          <cell r="L6">
            <v>1100</v>
          </cell>
          <cell r="M6">
            <v>1034</v>
          </cell>
          <cell r="N6">
            <v>655</v>
          </cell>
          <cell r="O6" t="str">
            <v>NAS77-5</v>
          </cell>
          <cell r="P6">
            <v>0.3125</v>
          </cell>
          <cell r="Q6">
            <v>7.9375</v>
          </cell>
          <cell r="R6">
            <v>0.43859999999999999</v>
          </cell>
          <cell r="S6">
            <v>11.14044</v>
          </cell>
          <cell r="T6">
            <v>1.6014699999999999</v>
          </cell>
          <cell r="U6">
            <v>6.2E-2</v>
          </cell>
          <cell r="V6">
            <v>1.5748</v>
          </cell>
          <cell r="W6" t="str">
            <v>EN6046-05</v>
          </cell>
          <cell r="X6">
            <v>7.9379999999999997</v>
          </cell>
          <cell r="Y6">
            <v>19.05</v>
          </cell>
          <cell r="Z6">
            <v>9.5299999999999994</v>
          </cell>
          <cell r="AA6">
            <v>7.14</v>
          </cell>
        </row>
        <row r="7">
          <cell r="B7" t="str">
            <v>EN6115V5</v>
          </cell>
          <cell r="C7">
            <v>7.9</v>
          </cell>
          <cell r="D7">
            <v>40900</v>
          </cell>
          <cell r="E7">
            <v>1.22</v>
          </cell>
          <cell r="F7">
            <v>32440</v>
          </cell>
          <cell r="H7" t="str">
            <v>ABS0114-6</v>
          </cell>
          <cell r="I7">
            <v>0.3735</v>
          </cell>
          <cell r="J7">
            <v>9.5250000000000004</v>
          </cell>
          <cell r="K7" t="str">
            <v>Ti-6Al-4V</v>
          </cell>
          <cell r="L7">
            <v>1100</v>
          </cell>
          <cell r="M7">
            <v>1034</v>
          </cell>
          <cell r="N7">
            <v>655</v>
          </cell>
          <cell r="O7" t="str">
            <v>NAS77-6</v>
          </cell>
          <cell r="P7">
            <v>0.375</v>
          </cell>
          <cell r="Q7">
            <v>9.5249999999999986</v>
          </cell>
          <cell r="R7">
            <v>0.50129999999999997</v>
          </cell>
          <cell r="S7">
            <v>12.733019999999998</v>
          </cell>
          <cell r="T7">
            <v>1.6040099999999997</v>
          </cell>
          <cell r="U7">
            <v>6.2E-2</v>
          </cell>
          <cell r="V7">
            <v>1.5748</v>
          </cell>
          <cell r="W7" t="str">
            <v>EN6046-06</v>
          </cell>
          <cell r="X7">
            <v>9.5250000000000004</v>
          </cell>
          <cell r="Y7">
            <v>20.638000000000002</v>
          </cell>
          <cell r="Z7">
            <v>10.31</v>
          </cell>
          <cell r="AA7">
            <v>7.92</v>
          </cell>
        </row>
        <row r="8">
          <cell r="B8" t="str">
            <v>EN6115V6</v>
          </cell>
          <cell r="C8">
            <v>9.5</v>
          </cell>
          <cell r="D8">
            <v>62250</v>
          </cell>
          <cell r="E8">
            <v>2.46</v>
          </cell>
          <cell r="F8">
            <v>46660</v>
          </cell>
          <cell r="H8" t="str">
            <v>ABS0114-7</v>
          </cell>
          <cell r="I8">
            <v>0.436</v>
          </cell>
          <cell r="J8">
            <v>11.112500000000001</v>
          </cell>
          <cell r="K8" t="str">
            <v>Ti-6Al-4V</v>
          </cell>
          <cell r="L8">
            <v>1100</v>
          </cell>
          <cell r="M8">
            <v>1034</v>
          </cell>
          <cell r="N8">
            <v>655</v>
          </cell>
          <cell r="O8" t="str">
            <v>NAS77-7</v>
          </cell>
          <cell r="P8">
            <v>0.4375</v>
          </cell>
          <cell r="Q8">
            <v>11.112499999999999</v>
          </cell>
          <cell r="R8">
            <v>0.56379999999999997</v>
          </cell>
          <cell r="S8">
            <v>14.320519999999998</v>
          </cell>
          <cell r="T8">
            <v>1.6040099999999997</v>
          </cell>
          <cell r="U8">
            <v>6.2E-2</v>
          </cell>
          <cell r="V8">
            <v>1.5748</v>
          </cell>
          <cell r="W8" t="str">
            <v>EN6046-07</v>
          </cell>
          <cell r="X8">
            <v>11.113</v>
          </cell>
          <cell r="Y8">
            <v>23.016999999999999</v>
          </cell>
          <cell r="Z8">
            <v>11.1</v>
          </cell>
          <cell r="AA8">
            <v>8.7100000000000009</v>
          </cell>
        </row>
        <row r="9">
          <cell r="B9" t="str">
            <v>EN6115V7</v>
          </cell>
          <cell r="C9">
            <v>11.1</v>
          </cell>
          <cell r="D9">
            <v>78600</v>
          </cell>
          <cell r="E9">
            <v>3.54</v>
          </cell>
          <cell r="F9">
            <v>63550</v>
          </cell>
          <cell r="H9" t="str">
            <v>ABS0114-8</v>
          </cell>
          <cell r="I9">
            <v>0.4985</v>
          </cell>
          <cell r="J9">
            <v>12.7</v>
          </cell>
          <cell r="K9" t="str">
            <v>Ti-6Al-4V</v>
          </cell>
          <cell r="L9">
            <v>1100</v>
          </cell>
          <cell r="M9">
            <v>1034</v>
          </cell>
          <cell r="N9">
            <v>655</v>
          </cell>
          <cell r="O9" t="str">
            <v>NAS77-8</v>
          </cell>
          <cell r="P9">
            <v>0.5</v>
          </cell>
          <cell r="Q9">
            <v>12.7</v>
          </cell>
          <cell r="R9">
            <v>0.62649999999999995</v>
          </cell>
          <cell r="S9">
            <v>15.913099999999998</v>
          </cell>
          <cell r="T9">
            <v>1.6065499999999995</v>
          </cell>
          <cell r="U9">
            <v>6.2E-2</v>
          </cell>
          <cell r="V9">
            <v>1.5748</v>
          </cell>
          <cell r="W9" t="str">
            <v>EN6046-08</v>
          </cell>
          <cell r="X9">
            <v>12.7</v>
          </cell>
          <cell r="Y9">
            <v>25.4</v>
          </cell>
          <cell r="Z9">
            <v>12.7</v>
          </cell>
          <cell r="AA9">
            <v>9.91</v>
          </cell>
        </row>
        <row r="10">
          <cell r="B10" t="str">
            <v>EN6115V8</v>
          </cell>
          <cell r="C10">
            <v>12.7</v>
          </cell>
          <cell r="D10">
            <v>106500</v>
          </cell>
          <cell r="E10">
            <v>5.0999999999999996</v>
          </cell>
          <cell r="F10">
            <v>82880</v>
          </cell>
          <cell r="H10" t="str">
            <v>ABS0114-9</v>
          </cell>
          <cell r="I10">
            <v>0.5605</v>
          </cell>
          <cell r="J10">
            <v>14.2875</v>
          </cell>
          <cell r="K10" t="str">
            <v>Ti-6Al-4V</v>
          </cell>
          <cell r="L10">
            <v>1100</v>
          </cell>
          <cell r="M10">
            <v>1034</v>
          </cell>
          <cell r="N10">
            <v>655</v>
          </cell>
          <cell r="O10" t="str">
            <v>NAS77-9</v>
          </cell>
          <cell r="P10">
            <v>0.5625</v>
          </cell>
          <cell r="Q10">
            <v>14.2875</v>
          </cell>
          <cell r="R10">
            <v>0.68920000000000003</v>
          </cell>
          <cell r="S10">
            <v>17.505679999999998</v>
          </cell>
          <cell r="T10">
            <v>1.6090899999999992</v>
          </cell>
          <cell r="U10">
            <v>6.2E-2</v>
          </cell>
          <cell r="V10">
            <v>1.5748</v>
          </cell>
          <cell r="W10" t="str">
            <v>EN6046-09</v>
          </cell>
          <cell r="X10">
            <v>14.288</v>
          </cell>
          <cell r="Y10">
            <v>27.78</v>
          </cell>
          <cell r="Z10">
            <v>14.27</v>
          </cell>
          <cell r="AA10">
            <v>11.1</v>
          </cell>
        </row>
        <row r="11">
          <cell r="H11" t="str">
            <v>ABS0114-10</v>
          </cell>
          <cell r="I11">
            <v>0.623</v>
          </cell>
          <cell r="J11">
            <v>15.875</v>
          </cell>
          <cell r="K11" t="str">
            <v>Ti-6Al-4V</v>
          </cell>
          <cell r="L11">
            <v>1100</v>
          </cell>
          <cell r="M11">
            <v>1034</v>
          </cell>
          <cell r="N11">
            <v>655</v>
          </cell>
          <cell r="O11" t="str">
            <v>NAS77-10</v>
          </cell>
          <cell r="P11">
            <v>0.625</v>
          </cell>
          <cell r="Q11">
            <v>15.875</v>
          </cell>
          <cell r="R11">
            <v>0.81420000000000003</v>
          </cell>
          <cell r="S11">
            <v>20.680679999999999</v>
          </cell>
          <cell r="T11">
            <v>2.4028399999999994</v>
          </cell>
          <cell r="U11">
            <v>6.2E-2</v>
          </cell>
          <cell r="V11">
            <v>1.5748</v>
          </cell>
          <cell r="W11" t="str">
            <v>EN6046-10</v>
          </cell>
          <cell r="X11">
            <v>15.875</v>
          </cell>
          <cell r="Y11">
            <v>30.163</v>
          </cell>
          <cell r="Z11">
            <v>15.88</v>
          </cell>
          <cell r="AA11">
            <v>12.7</v>
          </cell>
        </row>
        <row r="12">
          <cell r="H12" t="str">
            <v>ABS0114-12</v>
          </cell>
          <cell r="I12">
            <v>0.748</v>
          </cell>
          <cell r="J12">
            <v>19.05</v>
          </cell>
          <cell r="K12" t="str">
            <v>Ti-6Al-4V</v>
          </cell>
          <cell r="L12">
            <v>1100</v>
          </cell>
          <cell r="M12">
            <v>1034</v>
          </cell>
          <cell r="N12">
            <v>655</v>
          </cell>
          <cell r="O12" t="str">
            <v>NAS77-12</v>
          </cell>
          <cell r="P12">
            <v>0.75</v>
          </cell>
          <cell r="Q12">
            <v>19.049999999999997</v>
          </cell>
          <cell r="R12">
            <v>0.93930000000000002</v>
          </cell>
          <cell r="S12">
            <v>23.858219999999999</v>
          </cell>
          <cell r="T12">
            <v>2.4041100000000011</v>
          </cell>
          <cell r="U12">
            <v>6.2E-2</v>
          </cell>
          <cell r="V12">
            <v>1.5748</v>
          </cell>
          <cell r="W12" t="str">
            <v>EN6046-12</v>
          </cell>
          <cell r="X12">
            <v>19.05</v>
          </cell>
          <cell r="Y12">
            <v>36.512999999999998</v>
          </cell>
          <cell r="Z12">
            <v>19.05</v>
          </cell>
          <cell r="AA12">
            <v>15.06</v>
          </cell>
        </row>
      </sheetData>
      <sheetData sheetId="3" refreshError="1"/>
      <sheetData sheetId="4"/>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zing"/>
      <sheetName val="Forces_Inputs"/>
      <sheetName val="ISAMI_INPUT"/>
      <sheetName val="Standards"/>
      <sheetName val="Lug&amp;Pin_Summary"/>
      <sheetName val="Cargas"/>
    </sheetNames>
    <sheetDataSet>
      <sheetData sheetId="0">
        <row r="3">
          <cell r="B3" t="str">
            <v>ID</v>
          </cell>
        </row>
        <row r="4">
          <cell r="B4" t="str">
            <v>R464LHCF_FUS</v>
          </cell>
        </row>
        <row r="5">
          <cell r="B5" t="str">
            <v>R464RHCF_FUS</v>
          </cell>
        </row>
        <row r="6">
          <cell r="B6" t="str">
            <v>R462LHCF_IN_FUS</v>
          </cell>
        </row>
        <row r="7">
          <cell r="B7" t="str">
            <v>R462RHCF_IN_FUS</v>
          </cell>
        </row>
        <row r="8">
          <cell r="B8" t="str">
            <v>R462LHCF_OU_FUS</v>
          </cell>
        </row>
        <row r="9">
          <cell r="B9" t="str">
            <v>R462RHCF_OU_FUS</v>
          </cell>
        </row>
        <row r="10">
          <cell r="B10" t="str">
            <v>R482LHCF_FUS</v>
          </cell>
        </row>
        <row r="11">
          <cell r="B11" t="str">
            <v>R482RHCF_FUS</v>
          </cell>
        </row>
        <row r="12">
          <cell r="B12" t="str">
            <v>R483LHCF_FUS</v>
          </cell>
        </row>
        <row r="13">
          <cell r="B13" t="str">
            <v>R483RHCF_FUS</v>
          </cell>
        </row>
        <row r="14">
          <cell r="B14" t="str">
            <v>R492LHCF_FUS</v>
          </cell>
        </row>
        <row r="15">
          <cell r="B15" t="str">
            <v>R492RHCF_FUS</v>
          </cell>
        </row>
        <row r="16">
          <cell r="B16" t="str">
            <v>R493LHCF_FUS</v>
          </cell>
        </row>
        <row r="17">
          <cell r="B17" t="str">
            <v>R493RHCF_FUS</v>
          </cell>
        </row>
        <row r="18">
          <cell r="B18" t="str">
            <v>R503LHCF_FUS</v>
          </cell>
        </row>
        <row r="19">
          <cell r="B19" t="str">
            <v>R503RHCF_FUS</v>
          </cell>
        </row>
        <row r="20">
          <cell r="B20" t="str">
            <v>R532LH-HPAFTCF_FUS</v>
          </cell>
        </row>
        <row r="21">
          <cell r="B21" t="str">
            <v>R532RH-HPAFTCF_FUS</v>
          </cell>
        </row>
        <row r="22">
          <cell r="B22" t="str">
            <v>R533LH-HPAFTCF_FUS</v>
          </cell>
        </row>
        <row r="23">
          <cell r="B23" t="str">
            <v>R533RH-HPAFTCF_FUS</v>
          </cell>
        </row>
        <row r="24">
          <cell r="B24" t="str">
            <v>R532LH-HPFWDCF_FUS</v>
          </cell>
        </row>
        <row r="25">
          <cell r="B25" t="str">
            <v>R532RH-HPFWDCF_FUS</v>
          </cell>
        </row>
        <row r="26">
          <cell r="B26" t="str">
            <v>R533LH-HPFWDCF_FUS</v>
          </cell>
        </row>
        <row r="27">
          <cell r="B27" t="str">
            <v>R533RH-HPFWDCF_FUS</v>
          </cell>
        </row>
        <row r="28">
          <cell r="B28" t="str">
            <v>R54STOP-FW-LHCF_FUS</v>
          </cell>
        </row>
        <row r="29">
          <cell r="B29" t="str">
            <v>R54STOP-FW-RHCF_FUS</v>
          </cell>
        </row>
        <row r="30">
          <cell r="B30" t="str">
            <v>R422RH-INCF_FUS</v>
          </cell>
        </row>
        <row r="31">
          <cell r="B31" t="str">
            <v>R422LHCF_FUS</v>
          </cell>
        </row>
        <row r="32">
          <cell r="B32" t="str">
            <v>R423LHCF_FUS</v>
          </cell>
        </row>
        <row r="33">
          <cell r="B33" t="str">
            <v>R423RHCF_FUS</v>
          </cell>
        </row>
        <row r="34">
          <cell r="B34" t="str">
            <v>R432RHCF_FUS</v>
          </cell>
        </row>
        <row r="35">
          <cell r="B35" t="str">
            <v>R441LHCF_FUS</v>
          </cell>
        </row>
        <row r="36">
          <cell r="B36" t="str">
            <v>R441RHCF_FUS</v>
          </cell>
        </row>
        <row r="37">
          <cell r="B37" t="str">
            <v>R442LHCF_FUS</v>
          </cell>
        </row>
        <row r="38">
          <cell r="B38" t="str">
            <v>R442RHCF_FUS</v>
          </cell>
        </row>
        <row r="39">
          <cell r="B39" t="str">
            <v>R443LHCF_FUS</v>
          </cell>
        </row>
        <row r="40">
          <cell r="B40" t="str">
            <v>R443RHCF_FUS</v>
          </cell>
        </row>
        <row r="41">
          <cell r="B41" t="str">
            <v>R63HB_BF_LHCF_FUS</v>
          </cell>
        </row>
        <row r="42">
          <cell r="B42" t="str">
            <v>R63HB_BF_RHCF_FUS</v>
          </cell>
        </row>
        <row r="43">
          <cell r="B43" t="str">
            <v>R63HF-BF_LHCF_FUS</v>
          </cell>
        </row>
        <row r="44">
          <cell r="B44" t="str">
            <v>R461LHCF_FUS</v>
          </cell>
        </row>
        <row r="45">
          <cell r="B45" t="str">
            <v>R461RHCF_FUS</v>
          </cell>
        </row>
        <row r="46">
          <cell r="B46" t="str">
            <v>R471LHCF_FUS</v>
          </cell>
        </row>
        <row r="47">
          <cell r="B47" t="str">
            <v>R471RHCF_FUS</v>
          </cell>
        </row>
        <row r="48">
          <cell r="B48" t="str">
            <v>R491LH2CF_FUS</v>
          </cell>
        </row>
        <row r="49">
          <cell r="B49" t="str">
            <v>R491RH2CF_FUS</v>
          </cell>
        </row>
        <row r="50">
          <cell r="B50" t="str">
            <v>R491LH1CF_FUS</v>
          </cell>
        </row>
        <row r="51">
          <cell r="B51" t="str">
            <v>R491RH1CF_FUS</v>
          </cell>
        </row>
        <row r="52">
          <cell r="B52" t="str">
            <v>R511LHCF_FUS</v>
          </cell>
        </row>
        <row r="53">
          <cell r="B53" t="str">
            <v>R511RHCF_FUS</v>
          </cell>
        </row>
        <row r="54">
          <cell r="B54" t="str">
            <v>R531LHCF_FUS</v>
          </cell>
        </row>
        <row r="55">
          <cell r="B55" t="str">
            <v>R531RHCF_FUS</v>
          </cell>
        </row>
        <row r="56">
          <cell r="B56" t="str">
            <v>R521LHCF_FUS</v>
          </cell>
        </row>
        <row r="57">
          <cell r="B57" t="str">
            <v>R521RHCF_FUS</v>
          </cell>
        </row>
        <row r="58">
          <cell r="B58" t="str">
            <v>R551LH2CF_FUS</v>
          </cell>
        </row>
        <row r="59">
          <cell r="B59" t="str">
            <v>R551RH2CF_FUS</v>
          </cell>
        </row>
        <row r="60">
          <cell r="B60" t="str">
            <v>R551LH1CF_FUS</v>
          </cell>
        </row>
        <row r="61">
          <cell r="B61" t="str">
            <v>R551RH1CF_FUS</v>
          </cell>
        </row>
        <row r="62">
          <cell r="B62" t="str">
            <v>R561LHCF_FUS</v>
          </cell>
        </row>
        <row r="63">
          <cell r="B63" t="str">
            <v>R561RHCF_FUS</v>
          </cell>
        </row>
        <row r="64">
          <cell r="B64" t="str">
            <v>R571LHCF_FUS</v>
          </cell>
        </row>
        <row r="65">
          <cell r="B65" t="str">
            <v>R571RHCF_FUS</v>
          </cell>
        </row>
        <row r="66">
          <cell r="B66" t="str">
            <v>R581LHCF_FUS</v>
          </cell>
        </row>
        <row r="67">
          <cell r="B67" t="str">
            <v>R581RHCF_FUS</v>
          </cell>
        </row>
        <row r="68">
          <cell r="B68" t="str">
            <v>R591LHCF_FUS</v>
          </cell>
        </row>
        <row r="69">
          <cell r="B69" t="str">
            <v>R591RHCF_FUS</v>
          </cell>
        </row>
        <row r="70">
          <cell r="B70" t="str">
            <v>R631LHCF_FUS</v>
          </cell>
        </row>
        <row r="71">
          <cell r="B71" t="str">
            <v>R631RHCF_FUS</v>
          </cell>
        </row>
        <row r="72">
          <cell r="B72" t="str">
            <v>R632LHCF_FUS</v>
          </cell>
        </row>
        <row r="73">
          <cell r="B73" t="str">
            <v>R632RHCF_FUS</v>
          </cell>
        </row>
        <row r="74">
          <cell r="B74" t="str">
            <v>R633LHCF_FUS</v>
          </cell>
        </row>
        <row r="75">
          <cell r="B75" t="str">
            <v>R633RHCF_FUS</v>
          </cell>
        </row>
        <row r="76">
          <cell r="B76" t="str">
            <v>R652LHCF_FUS</v>
          </cell>
        </row>
        <row r="77">
          <cell r="B77" t="str">
            <v>R653LHCF_FUS</v>
          </cell>
        </row>
        <row r="78">
          <cell r="B78" t="str">
            <v>R653RHCF_FUS</v>
          </cell>
        </row>
        <row r="79">
          <cell r="B79" t="str">
            <v>R652RH-INCF_FUS</v>
          </cell>
        </row>
        <row r="80">
          <cell r="B80" t="str">
            <v>R651LH-OBCF_FUS</v>
          </cell>
        </row>
        <row r="81">
          <cell r="B81" t="str">
            <v>R651RH-OBCF_FUS</v>
          </cell>
        </row>
        <row r="82">
          <cell r="B82" t="str">
            <v>R652RH-OBCF_FUS</v>
          </cell>
        </row>
        <row r="83">
          <cell r="B83" t="str">
            <v>R672LHCF_FUS</v>
          </cell>
        </row>
        <row r="84">
          <cell r="B84" t="str">
            <v>R672RHCF_FUS</v>
          </cell>
        </row>
        <row r="85">
          <cell r="B85" t="str">
            <v>R673LHCF_FUS</v>
          </cell>
        </row>
        <row r="86">
          <cell r="B86" t="str">
            <v>R673RHCF_FUS</v>
          </cell>
        </row>
        <row r="87">
          <cell r="B87" t="str">
            <v>R693LHCF_FUS</v>
          </cell>
        </row>
        <row r="88">
          <cell r="B88" t="str">
            <v>R693RHBF_FUS</v>
          </cell>
        </row>
        <row r="89">
          <cell r="B89" t="str">
            <v>R594LH-OBCF_FUS</v>
          </cell>
        </row>
        <row r="90">
          <cell r="B90" t="str">
            <v>R594RH-OBCF_FUS</v>
          </cell>
        </row>
        <row r="91">
          <cell r="B91" t="str">
            <v>R604LH-AFSLCF_FUS</v>
          </cell>
        </row>
        <row r="92">
          <cell r="B92" t="str">
            <v>R604RH-AFSLCF_FUS</v>
          </cell>
        </row>
        <row r="93">
          <cell r="B93" t="str">
            <v>R601LHCF_FUS</v>
          </cell>
        </row>
        <row r="94">
          <cell r="B94" t="str">
            <v>R601RHCF_FUS</v>
          </cell>
        </row>
        <row r="95">
          <cell r="B95" t="str">
            <v>R601LH-AFTCF_FUS</v>
          </cell>
        </row>
        <row r="96">
          <cell r="B96" t="str">
            <v>R601RH-AFTCF_FUS</v>
          </cell>
        </row>
        <row r="97">
          <cell r="B97" t="str">
            <v>R612LH-FWCF_FUS</v>
          </cell>
        </row>
        <row r="98">
          <cell r="B98" t="str">
            <v>R612RH-FWCF_FUS</v>
          </cell>
        </row>
        <row r="99">
          <cell r="B99" t="str">
            <v>R602LHCF_FUS</v>
          </cell>
        </row>
        <row r="100">
          <cell r="B100" t="str">
            <v>R602RHCF_FUS</v>
          </cell>
        </row>
        <row r="101">
          <cell r="B101" t="str">
            <v>R61STOP-LHCF_FUS</v>
          </cell>
        </row>
        <row r="102">
          <cell r="B102" t="str">
            <v>R61STOP-RHCF_FUS</v>
          </cell>
        </row>
        <row r="103">
          <cell r="B103" t="str">
            <v>R594LH-INCF_FUS</v>
          </cell>
        </row>
        <row r="104">
          <cell r="B104" t="str">
            <v>R594RH-INCF_FUS</v>
          </cell>
        </row>
        <row r="105">
          <cell r="B105" t="str">
            <v>54102480_FUS</v>
          </cell>
        </row>
        <row r="106">
          <cell r="B106" t="str">
            <v>54152480_FUS</v>
          </cell>
        </row>
        <row r="107">
          <cell r="B107" t="str">
            <v>54202480_FUS</v>
          </cell>
        </row>
        <row r="108">
          <cell r="B108" t="str">
            <v>54252480_FUS</v>
          </cell>
        </row>
        <row r="109">
          <cell r="B109" t="str">
            <v>54102481_FUS</v>
          </cell>
        </row>
        <row r="110">
          <cell r="B110" t="str">
            <v>54152481_FUS</v>
          </cell>
        </row>
        <row r="111">
          <cell r="B111" t="str">
            <v>54402480_FUS</v>
          </cell>
        </row>
        <row r="112">
          <cell r="B112" t="str">
            <v>54452480_FUS</v>
          </cell>
        </row>
        <row r="113">
          <cell r="B113" t="str">
            <v>54402481_FUS</v>
          </cell>
        </row>
        <row r="114">
          <cell r="B114" t="str">
            <v>54452481_FUS</v>
          </cell>
        </row>
        <row r="115">
          <cell r="B115" t="str">
            <v>55602490_FUS</v>
          </cell>
        </row>
        <row r="116">
          <cell r="B116" t="str">
            <v>55652490_FUS</v>
          </cell>
        </row>
        <row r="117">
          <cell r="B117" t="str">
            <v>55802490_FUS</v>
          </cell>
        </row>
        <row r="118">
          <cell r="B118" t="str">
            <v>55852490_FUS</v>
          </cell>
        </row>
        <row r="119">
          <cell r="B119" t="str">
            <v>55902480_FUS</v>
          </cell>
        </row>
        <row r="120">
          <cell r="B120" t="str">
            <v>55952480_FUS</v>
          </cell>
        </row>
        <row r="121">
          <cell r="B121" t="str">
            <v>55902499_FUS</v>
          </cell>
        </row>
        <row r="122">
          <cell r="B122" t="str">
            <v>55952499_FUS</v>
          </cell>
        </row>
        <row r="123">
          <cell r="B123" t="str">
            <v>56002499_FUS</v>
          </cell>
        </row>
        <row r="124">
          <cell r="B124" t="str">
            <v>56052499_FUS</v>
          </cell>
        </row>
        <row r="125">
          <cell r="B125" t="str">
            <v>55510536_FUS</v>
          </cell>
        </row>
        <row r="126">
          <cell r="B126" t="str">
            <v>55520536_FUS</v>
          </cell>
        </row>
        <row r="127">
          <cell r="B127" t="str">
            <v>R633RHGS_FUS</v>
          </cell>
        </row>
        <row r="128">
          <cell r="B128" t="str">
            <v>R653RHFW_FUS</v>
          </cell>
        </row>
        <row r="129">
          <cell r="B129" t="str">
            <v>R633LHGS_FUS</v>
          </cell>
        </row>
      </sheetData>
      <sheetData sheetId="1"/>
      <sheetData sheetId="2"/>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Analysis"/>
      <sheetName val="Materials"/>
      <sheetName val="Mat_Macro"/>
      <sheetName val="Bush&amp;Pin_Data"/>
    </sheetNames>
    <sheetDataSet>
      <sheetData sheetId="0" refreshError="1"/>
      <sheetData sheetId="1" refreshError="1"/>
      <sheetData sheetId="2" refreshError="1"/>
      <sheetData sheetId="3">
        <row r="3">
          <cell r="E3" t="str">
            <v>Ti-6Al-4V</v>
          </cell>
        </row>
        <row r="4">
          <cell r="E4" t="str">
            <v>Cres-A286</v>
          </cell>
        </row>
        <row r="5">
          <cell r="E5" t="str">
            <v>Al-7050-T7451</v>
          </cell>
        </row>
        <row r="6">
          <cell r="E6" t="str">
            <v>Al-7175-T7351</v>
          </cell>
        </row>
        <row r="7">
          <cell r="E7" t="str">
            <v>X</v>
          </cell>
        </row>
        <row r="8">
          <cell r="E8" t="str">
            <v>X</v>
          </cell>
        </row>
        <row r="9">
          <cell r="E9" t="str">
            <v>X</v>
          </cell>
        </row>
        <row r="10">
          <cell r="E10" t="str">
            <v>X</v>
          </cell>
        </row>
        <row r="11">
          <cell r="E11" t="str">
            <v>X</v>
          </cell>
        </row>
        <row r="12">
          <cell r="E12" t="str">
            <v>X</v>
          </cell>
        </row>
        <row r="13">
          <cell r="E13" t="str">
            <v>X</v>
          </cell>
        </row>
        <row r="14">
          <cell r="E14" t="str">
            <v>X</v>
          </cell>
        </row>
        <row r="15">
          <cell r="E15" t="str">
            <v>X</v>
          </cell>
        </row>
        <row r="16">
          <cell r="E16" t="str">
            <v>X</v>
          </cell>
        </row>
        <row r="17">
          <cell r="E17" t="str">
            <v>X</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I18:K28"/>
  <sheetViews>
    <sheetView workbookViewId="0">
      <selection activeCell="J33" sqref="J33"/>
    </sheetView>
  </sheetViews>
  <sheetFormatPr baseColWidth="10" defaultColWidth="11.42578125" defaultRowHeight="15" x14ac:dyDescent="0.25"/>
  <cols>
    <col min="1" max="6" width="11.42578125" style="43"/>
    <col min="7" max="7" width="11.42578125" style="43" customWidth="1"/>
    <col min="8" max="8" width="13.5703125" style="43" customWidth="1"/>
    <col min="9" max="16384" width="11.42578125" style="43"/>
  </cols>
  <sheetData>
    <row r="18" spans="9:11" x14ac:dyDescent="0.25">
      <c r="J18" s="52" t="s">
        <v>140</v>
      </c>
      <c r="K18" s="53"/>
    </row>
    <row r="19" spans="9:11" x14ac:dyDescent="0.25">
      <c r="J19" s="54" t="s">
        <v>141</v>
      </c>
      <c r="K19" s="54"/>
    </row>
    <row r="20" spans="9:11" x14ac:dyDescent="0.25">
      <c r="J20" s="54" t="s">
        <v>145</v>
      </c>
      <c r="K20" s="54"/>
    </row>
    <row r="21" spans="9:11" x14ac:dyDescent="0.25">
      <c r="J21" s="54" t="s">
        <v>142</v>
      </c>
      <c r="K21" s="54"/>
    </row>
    <row r="22" spans="9:11" x14ac:dyDescent="0.25">
      <c r="J22" s="54" t="s">
        <v>143</v>
      </c>
      <c r="K22" s="54"/>
    </row>
    <row r="23" spans="9:11" x14ac:dyDescent="0.25">
      <c r="J23" s="60" t="s">
        <v>144</v>
      </c>
      <c r="K23" s="60"/>
    </row>
    <row r="28" spans="9:11" x14ac:dyDescent="0.25">
      <c r="I28"/>
      <c r="J28"/>
    </row>
  </sheetData>
  <mergeCells count="1">
    <mergeCell ref="J23:K2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K173"/>
  <sheetViews>
    <sheetView showGridLines="0" tabSelected="1" zoomScale="90" zoomScaleNormal="90" workbookViewId="0">
      <selection activeCell="U5" sqref="U5"/>
    </sheetView>
  </sheetViews>
  <sheetFormatPr baseColWidth="10" defaultColWidth="11.42578125" defaultRowHeight="15" x14ac:dyDescent="0.25"/>
  <cols>
    <col min="1" max="1" width="29.7109375" style="1" customWidth="1"/>
    <col min="2" max="2" width="12.140625" style="1" customWidth="1"/>
    <col min="3" max="3" width="9.42578125" style="1" customWidth="1"/>
    <col min="4" max="4" width="7.42578125" style="1" customWidth="1"/>
    <col min="5" max="5" width="7.7109375" style="1" bestFit="1" customWidth="1"/>
    <col min="6" max="6" width="6.7109375" style="1" bestFit="1" customWidth="1"/>
    <col min="7" max="8" width="7.85546875" style="1" bestFit="1" customWidth="1"/>
    <col min="9" max="9" width="13.85546875" style="1" customWidth="1"/>
    <col min="10" max="10" width="14" style="1" customWidth="1"/>
    <col min="11" max="11" width="12.85546875" style="1" customWidth="1"/>
    <col min="12" max="12" width="12.140625" style="1" bestFit="1" customWidth="1"/>
    <col min="13" max="13" width="21.85546875" style="1" customWidth="1"/>
    <col min="14" max="14" width="15.28515625" style="1" customWidth="1"/>
    <col min="15" max="15" width="14.7109375" style="1" customWidth="1"/>
    <col min="16" max="17" width="10.7109375" style="1" customWidth="1"/>
    <col min="18" max="18" width="15.42578125" style="1" bestFit="1" customWidth="1"/>
    <col min="19" max="19" width="8" style="1" bestFit="1" customWidth="1"/>
    <col min="20" max="20" width="13.85546875" style="1" customWidth="1"/>
    <col min="21" max="21" width="17" style="1" bestFit="1" customWidth="1"/>
    <col min="22" max="22" width="11.42578125" style="1"/>
    <col min="23" max="23" width="13.85546875" style="1" hidden="1" customWidth="1"/>
    <col min="24" max="25" width="0" style="1" hidden="1" customWidth="1"/>
    <col min="26" max="16384" width="11.42578125" style="1"/>
  </cols>
  <sheetData>
    <row r="1" spans="1:37" x14ac:dyDescent="0.25">
      <c r="E1" s="61" t="s">
        <v>14</v>
      </c>
      <c r="F1" s="62"/>
      <c r="G1" s="62"/>
      <c r="H1" s="62"/>
      <c r="I1" s="62"/>
      <c r="J1" s="62"/>
      <c r="K1" s="62"/>
      <c r="L1" s="62"/>
      <c r="M1" s="62"/>
      <c r="N1" s="63"/>
      <c r="O1" s="64" t="s">
        <v>1</v>
      </c>
      <c r="P1" s="65"/>
      <c r="Q1" s="66"/>
      <c r="R1" s="67" t="s">
        <v>3</v>
      </c>
      <c r="S1" s="68"/>
      <c r="T1" s="69"/>
      <c r="U1" s="70" t="s">
        <v>108</v>
      </c>
      <c r="W1" s="1" t="s">
        <v>107</v>
      </c>
      <c r="X1" s="1" t="s">
        <v>139</v>
      </c>
      <c r="Y1" s="1" t="s">
        <v>116</v>
      </c>
    </row>
    <row r="2" spans="1:37" ht="15" customHeight="1" x14ac:dyDescent="0.25">
      <c r="A2" s="49" t="s">
        <v>4</v>
      </c>
      <c r="B2" s="51" t="s">
        <v>17</v>
      </c>
      <c r="C2" s="51" t="s">
        <v>18</v>
      </c>
      <c r="D2" s="51" t="s">
        <v>16</v>
      </c>
      <c r="E2" s="48" t="s">
        <v>6</v>
      </c>
      <c r="F2" s="48" t="s">
        <v>7</v>
      </c>
      <c r="G2" s="48" t="s">
        <v>8</v>
      </c>
      <c r="H2" s="48" t="s">
        <v>9</v>
      </c>
      <c r="I2" s="48" t="s">
        <v>10</v>
      </c>
      <c r="J2" s="48" t="s">
        <v>15</v>
      </c>
      <c r="K2" s="48" t="s">
        <v>11</v>
      </c>
      <c r="L2" s="48" t="s">
        <v>12</v>
      </c>
      <c r="M2" s="48" t="s">
        <v>5</v>
      </c>
      <c r="N2" s="48" t="s">
        <v>2</v>
      </c>
      <c r="O2" s="50" t="s">
        <v>25</v>
      </c>
      <c r="P2" s="50" t="s">
        <v>13</v>
      </c>
      <c r="Q2" s="50" t="s">
        <v>2</v>
      </c>
      <c r="R2" s="6" t="s">
        <v>25</v>
      </c>
      <c r="S2" s="6" t="s">
        <v>24</v>
      </c>
      <c r="T2" s="6" t="s">
        <v>2</v>
      </c>
      <c r="U2" s="71"/>
    </row>
    <row r="3" spans="1:37" ht="18" hidden="1" customHeight="1" x14ac:dyDescent="0.25">
      <c r="A3" s="7" t="s">
        <v>4</v>
      </c>
      <c r="B3" s="46" t="s">
        <v>119</v>
      </c>
      <c r="C3" s="46" t="s">
        <v>120</v>
      </c>
      <c r="D3" s="46" t="s">
        <v>121</v>
      </c>
      <c r="E3" s="5" t="s">
        <v>122</v>
      </c>
      <c r="F3" s="5" t="s">
        <v>123</v>
      </c>
      <c r="G3" s="5" t="s">
        <v>124</v>
      </c>
      <c r="H3" s="5" t="s">
        <v>125</v>
      </c>
      <c r="I3" s="5" t="s">
        <v>126</v>
      </c>
      <c r="J3" s="5" t="s">
        <v>127</v>
      </c>
      <c r="K3" s="5" t="s">
        <v>128</v>
      </c>
      <c r="L3" s="5" t="s">
        <v>129</v>
      </c>
      <c r="M3" s="5" t="s">
        <v>130</v>
      </c>
      <c r="N3" s="5" t="s">
        <v>131</v>
      </c>
      <c r="O3" s="4" t="s">
        <v>132</v>
      </c>
      <c r="P3" s="4" t="s">
        <v>133</v>
      </c>
      <c r="Q3" s="4" t="s">
        <v>134</v>
      </c>
      <c r="R3" s="6" t="s">
        <v>135</v>
      </c>
      <c r="S3" s="6" t="s">
        <v>136</v>
      </c>
      <c r="T3" s="6" t="s">
        <v>137</v>
      </c>
      <c r="U3" s="45" t="s">
        <v>138</v>
      </c>
      <c r="V3"/>
      <c r="W3"/>
      <c r="X3"/>
      <c r="Y3"/>
      <c r="Z3"/>
      <c r="AA3"/>
      <c r="AB3"/>
      <c r="AC3"/>
      <c r="AD3"/>
      <c r="AE3"/>
      <c r="AF3"/>
      <c r="AG3"/>
      <c r="AH3"/>
      <c r="AI3"/>
      <c r="AJ3"/>
      <c r="AK3"/>
    </row>
    <row r="4" spans="1:37" x14ac:dyDescent="0.25">
      <c r="A4" s="3" t="s">
        <v>146</v>
      </c>
      <c r="B4" s="3">
        <v>10000</v>
      </c>
      <c r="C4" s="3">
        <v>70</v>
      </c>
      <c r="D4" s="44">
        <v>0.1</v>
      </c>
      <c r="E4" s="44">
        <v>33.4</v>
      </c>
      <c r="F4" s="44">
        <v>50.400000000000006</v>
      </c>
      <c r="G4" s="44">
        <v>6.6</v>
      </c>
      <c r="H4" s="44">
        <v>11.71</v>
      </c>
      <c r="I4" s="3">
        <v>0</v>
      </c>
      <c r="J4" s="3">
        <v>0</v>
      </c>
      <c r="K4" s="3">
        <v>30</v>
      </c>
      <c r="L4" s="3">
        <v>30</v>
      </c>
      <c r="M4" s="3" t="s">
        <v>139</v>
      </c>
      <c r="N4" s="3" t="s">
        <v>151</v>
      </c>
      <c r="O4" s="3" t="s">
        <v>65</v>
      </c>
      <c r="P4" s="44">
        <f>+INDEX('Bush&amp;Pin_Data'!$B$4:$D$16,MATCH(Analysis!O4,'Bush&amp;Pin_Data'!$B$4:$B$16,0),3)</f>
        <v>6.35</v>
      </c>
      <c r="Q4" s="3" t="str">
        <f>+INDEX('Bush&amp;Pin_Data'!$B$4:$D$16,MATCH(Analysis!O4,'Bush&amp;Pin_Data'!$B$4:$B$16,0),2)</f>
        <v>Ti-6Al-4V_ab_Annealed_Bar</v>
      </c>
      <c r="R4" s="3" t="s">
        <v>61</v>
      </c>
      <c r="S4" s="44">
        <f>+INDEX('Bush&amp;Pin_Data'!$J$4:$L$17,MATCH(R4,'Bush&amp;Pin_Data'!$J$4:$J$17,0),3)</f>
        <v>7.9654399999999992</v>
      </c>
      <c r="T4" s="3" t="str">
        <f>+INDEX('Bush&amp;Pin_Data'!$J$4:$L$17,MATCH(R4,'Bush&amp;Pin_Data'!$J$4:$J$17,0),2)</f>
        <v>A286-Cres_Bar</v>
      </c>
      <c r="U4" s="3" t="s">
        <v>109</v>
      </c>
    </row>
    <row r="5" spans="1:37" x14ac:dyDescent="0.25">
      <c r="A5" s="3"/>
      <c r="B5" s="3"/>
      <c r="C5" s="3"/>
      <c r="D5" s="44"/>
      <c r="E5" s="44"/>
      <c r="F5" s="44"/>
      <c r="G5" s="44"/>
      <c r="H5" s="44"/>
      <c r="I5" s="3"/>
      <c r="J5" s="3"/>
      <c r="K5" s="3"/>
      <c r="L5" s="3"/>
      <c r="M5" s="3"/>
      <c r="N5" s="3"/>
      <c r="O5" s="3"/>
      <c r="P5" s="44"/>
      <c r="Q5" s="3"/>
      <c r="R5" s="3"/>
      <c r="S5" s="44"/>
      <c r="T5" s="3"/>
      <c r="U5" s="3"/>
    </row>
    <row r="6" spans="1:37" x14ac:dyDescent="0.25">
      <c r="A6" s="3"/>
      <c r="B6" s="3"/>
      <c r="C6" s="3"/>
      <c r="D6" s="44"/>
      <c r="E6" s="44"/>
      <c r="F6" s="44"/>
      <c r="G6" s="44"/>
      <c r="H6" s="44"/>
      <c r="I6" s="3"/>
      <c r="J6" s="3"/>
      <c r="K6" s="3"/>
      <c r="L6" s="3"/>
      <c r="M6" s="3"/>
      <c r="N6" s="3"/>
      <c r="O6" s="3"/>
      <c r="P6" s="44"/>
      <c r="Q6" s="3"/>
      <c r="R6" s="3"/>
      <c r="S6" s="44"/>
      <c r="T6" s="3"/>
      <c r="U6" s="3"/>
    </row>
    <row r="7" spans="1:37" x14ac:dyDescent="0.25">
      <c r="A7" s="3"/>
      <c r="B7" s="3"/>
      <c r="C7" s="3"/>
      <c r="D7" s="44"/>
      <c r="E7" s="44"/>
      <c r="F7" s="44"/>
      <c r="G7" s="44"/>
      <c r="H7" s="44"/>
      <c r="I7" s="3"/>
      <c r="J7" s="3"/>
      <c r="K7" s="3"/>
      <c r="L7" s="3"/>
      <c r="M7" s="3"/>
      <c r="N7" s="3"/>
      <c r="O7" s="3"/>
      <c r="P7" s="44"/>
      <c r="Q7" s="3"/>
      <c r="R7" s="3"/>
      <c r="S7" s="44"/>
      <c r="T7" s="3"/>
      <c r="U7" s="3"/>
    </row>
    <row r="8" spans="1:37" x14ac:dyDescent="0.25">
      <c r="A8" s="3"/>
      <c r="B8" s="3"/>
      <c r="C8" s="3"/>
      <c r="D8" s="44"/>
      <c r="E8" s="44"/>
      <c r="F8" s="44"/>
      <c r="G8" s="44"/>
      <c r="H8" s="44"/>
      <c r="I8" s="3"/>
      <c r="J8" s="3"/>
      <c r="K8" s="3"/>
      <c r="L8" s="3"/>
      <c r="M8" s="3"/>
      <c r="N8" s="3"/>
      <c r="O8" s="3"/>
      <c r="P8" s="44"/>
      <c r="Q8" s="3"/>
      <c r="R8" s="3"/>
      <c r="S8" s="44"/>
      <c r="T8" s="3"/>
      <c r="U8" s="3"/>
    </row>
    <row r="9" spans="1:37" x14ac:dyDescent="0.25">
      <c r="A9" s="3"/>
      <c r="B9" s="3"/>
      <c r="C9" s="3"/>
      <c r="D9" s="44"/>
      <c r="E9" s="44"/>
      <c r="F9" s="44"/>
      <c r="G9" s="44"/>
      <c r="H9" s="44"/>
      <c r="I9" s="3"/>
      <c r="J9" s="3"/>
      <c r="K9" s="3"/>
      <c r="L9" s="3"/>
      <c r="M9" s="3"/>
      <c r="N9" s="3"/>
      <c r="O9" s="3"/>
      <c r="P9" s="44"/>
      <c r="Q9" s="3"/>
      <c r="R9" s="3"/>
      <c r="S9" s="44"/>
      <c r="T9" s="3"/>
      <c r="U9" s="3"/>
    </row>
    <row r="10" spans="1:37" x14ac:dyDescent="0.25">
      <c r="A10" s="3"/>
      <c r="B10" s="3"/>
      <c r="C10" s="3"/>
      <c r="D10" s="44"/>
      <c r="E10" s="44"/>
      <c r="F10" s="44"/>
      <c r="G10" s="44"/>
      <c r="H10" s="44"/>
      <c r="I10" s="3"/>
      <c r="J10" s="3"/>
      <c r="K10" s="3"/>
      <c r="L10" s="3"/>
      <c r="M10" s="3"/>
      <c r="N10" s="3"/>
      <c r="O10" s="3"/>
      <c r="P10" s="44"/>
      <c r="Q10" s="3"/>
      <c r="R10" s="3"/>
      <c r="S10" s="44"/>
      <c r="T10" s="3"/>
      <c r="U10" s="3"/>
    </row>
    <row r="11" spans="1:37" x14ac:dyDescent="0.25">
      <c r="A11" s="3"/>
      <c r="B11" s="3"/>
      <c r="C11" s="3"/>
      <c r="D11" s="44"/>
      <c r="E11" s="44"/>
      <c r="F11" s="44"/>
      <c r="G11" s="44"/>
      <c r="H11" s="44"/>
      <c r="I11" s="3"/>
      <c r="J11" s="3"/>
      <c r="K11" s="3"/>
      <c r="L11" s="3"/>
      <c r="M11" s="3"/>
      <c r="N11" s="3"/>
      <c r="O11" s="3"/>
      <c r="P11" s="44"/>
      <c r="Q11" s="3"/>
      <c r="R11" s="3"/>
      <c r="S11" s="44"/>
      <c r="T11" s="3"/>
      <c r="U11" s="3"/>
    </row>
    <row r="12" spans="1:37" x14ac:dyDescent="0.25">
      <c r="A12" s="3"/>
      <c r="B12" s="3"/>
      <c r="C12" s="3"/>
      <c r="D12" s="44"/>
      <c r="E12" s="44"/>
      <c r="F12" s="44"/>
      <c r="G12" s="44"/>
      <c r="H12" s="44"/>
      <c r="I12" s="3"/>
      <c r="J12" s="3"/>
      <c r="K12" s="3"/>
      <c r="L12" s="3"/>
      <c r="M12" s="3"/>
      <c r="N12" s="3"/>
      <c r="O12" s="3"/>
      <c r="P12" s="44"/>
      <c r="Q12" s="3"/>
      <c r="R12" s="3"/>
      <c r="S12" s="44"/>
      <c r="T12" s="3"/>
      <c r="U12" s="3"/>
    </row>
    <row r="13" spans="1:37" x14ac:dyDescent="0.25">
      <c r="A13" s="3"/>
      <c r="B13" s="3"/>
      <c r="C13" s="3"/>
      <c r="D13" s="44"/>
      <c r="E13" s="44"/>
      <c r="F13" s="44"/>
      <c r="G13" s="44"/>
      <c r="H13" s="44"/>
      <c r="I13" s="3"/>
      <c r="J13" s="3"/>
      <c r="K13" s="3"/>
      <c r="L13" s="3"/>
      <c r="M13" s="3"/>
      <c r="N13" s="3"/>
      <c r="O13" s="3"/>
      <c r="P13" s="44"/>
      <c r="Q13" s="3"/>
      <c r="R13" s="3"/>
      <c r="S13" s="44"/>
      <c r="T13" s="3"/>
      <c r="U13" s="3"/>
    </row>
    <row r="14" spans="1:37" x14ac:dyDescent="0.25">
      <c r="A14" s="3"/>
      <c r="B14" s="3"/>
      <c r="C14" s="3"/>
      <c r="D14" s="44"/>
      <c r="E14" s="44"/>
      <c r="F14" s="44"/>
      <c r="G14" s="44"/>
      <c r="H14" s="44"/>
      <c r="I14" s="3"/>
      <c r="J14" s="3"/>
      <c r="K14" s="3"/>
      <c r="L14" s="3"/>
      <c r="M14" s="3"/>
      <c r="N14" s="3"/>
      <c r="O14" s="3"/>
      <c r="P14" s="44"/>
      <c r="Q14" s="3"/>
      <c r="R14" s="3"/>
      <c r="S14" s="44"/>
      <c r="T14" s="3"/>
      <c r="U14" s="3"/>
    </row>
    <row r="15" spans="1:37" x14ac:dyDescent="0.25">
      <c r="A15" s="3"/>
      <c r="B15" s="3"/>
      <c r="C15" s="3"/>
      <c r="D15" s="44"/>
      <c r="E15" s="44"/>
      <c r="F15" s="44"/>
      <c r="G15" s="44"/>
      <c r="H15" s="44"/>
      <c r="I15" s="3"/>
      <c r="J15" s="3"/>
      <c r="K15" s="3"/>
      <c r="L15" s="3"/>
      <c r="M15" s="3"/>
      <c r="N15" s="3"/>
      <c r="O15" s="3"/>
      <c r="P15" s="44"/>
      <c r="Q15" s="3"/>
      <c r="R15" s="3"/>
      <c r="S15" s="44"/>
      <c r="T15" s="3"/>
      <c r="U15" s="3"/>
    </row>
    <row r="16" spans="1:37" x14ac:dyDescent="0.25">
      <c r="A16" s="3"/>
      <c r="B16" s="3"/>
      <c r="C16" s="3"/>
      <c r="D16" s="44"/>
      <c r="E16" s="44"/>
      <c r="F16" s="44"/>
      <c r="G16" s="44"/>
      <c r="H16" s="44"/>
      <c r="I16" s="3"/>
      <c r="J16" s="3"/>
      <c r="K16" s="3"/>
      <c r="L16" s="3"/>
      <c r="M16" s="3"/>
      <c r="N16" s="3"/>
      <c r="O16" s="3"/>
      <c r="P16" s="44"/>
      <c r="Q16" s="3"/>
      <c r="R16" s="3"/>
      <c r="S16" s="44"/>
      <c r="T16" s="3"/>
      <c r="U16" s="3"/>
    </row>
    <row r="17" spans="1:21" x14ac:dyDescent="0.25">
      <c r="A17"/>
      <c r="B17"/>
      <c r="C17"/>
      <c r="D17"/>
      <c r="E17"/>
      <c r="F17"/>
      <c r="G17"/>
      <c r="H17"/>
      <c r="I17"/>
      <c r="J17"/>
      <c r="K17"/>
      <c r="L17"/>
      <c r="M17"/>
      <c r="N17"/>
      <c r="O17"/>
      <c r="P17"/>
      <c r="Q17"/>
      <c r="R17"/>
      <c r="S17"/>
      <c r="T17"/>
      <c r="U17"/>
    </row>
    <row r="18" spans="1:21" x14ac:dyDescent="0.25">
      <c r="A18"/>
      <c r="B18"/>
      <c r="C18"/>
      <c r="D18"/>
      <c r="E18"/>
      <c r="F18"/>
      <c r="G18"/>
      <c r="H18"/>
      <c r="I18"/>
      <c r="J18"/>
      <c r="K18"/>
      <c r="L18"/>
      <c r="M18"/>
      <c r="N18"/>
      <c r="O18"/>
      <c r="P18"/>
      <c r="Q18"/>
      <c r="R18"/>
      <c r="S18"/>
      <c r="T18"/>
      <c r="U18"/>
    </row>
    <row r="19" spans="1:21" x14ac:dyDescent="0.25">
      <c r="A19"/>
      <c r="B19"/>
      <c r="C19"/>
      <c r="D19"/>
      <c r="E19"/>
      <c r="F19"/>
      <c r="G19"/>
      <c r="H19"/>
      <c r="I19"/>
      <c r="J19"/>
      <c r="K19"/>
      <c r="L19"/>
      <c r="M19"/>
      <c r="N19"/>
      <c r="O19"/>
      <c r="P19"/>
      <c r="Q19"/>
      <c r="R19"/>
      <c r="S19"/>
      <c r="T19"/>
      <c r="U19"/>
    </row>
    <row r="20" spans="1:21" x14ac:dyDescent="0.25">
      <c r="A20"/>
      <c r="B20"/>
      <c r="C20"/>
      <c r="D20"/>
      <c r="E20"/>
      <c r="F20"/>
      <c r="G20"/>
      <c r="H20"/>
      <c r="I20"/>
      <c r="J20"/>
      <c r="K20"/>
      <c r="L20"/>
      <c r="M20"/>
      <c r="N20"/>
      <c r="O20"/>
      <c r="P20"/>
      <c r="Q20"/>
      <c r="R20"/>
      <c r="S20"/>
      <c r="T20"/>
      <c r="U20"/>
    </row>
    <row r="21" spans="1:21" x14ac:dyDescent="0.25">
      <c r="A21"/>
      <c r="B21"/>
      <c r="C21"/>
      <c r="D21"/>
      <c r="E21"/>
      <c r="F21"/>
      <c r="G21"/>
      <c r="H21"/>
      <c r="I21"/>
      <c r="J21"/>
      <c r="K21"/>
      <c r="L21"/>
      <c r="M21"/>
      <c r="N21"/>
      <c r="O21"/>
      <c r="P21"/>
      <c r="Q21"/>
      <c r="R21"/>
      <c r="S21"/>
      <c r="T21"/>
      <c r="U21"/>
    </row>
    <row r="22" spans="1:21" x14ac:dyDescent="0.25">
      <c r="A22"/>
      <c r="B22"/>
      <c r="C22"/>
      <c r="D22"/>
      <c r="E22"/>
      <c r="F22"/>
      <c r="G22"/>
      <c r="H22"/>
      <c r="I22"/>
      <c r="J22"/>
      <c r="K22"/>
      <c r="L22"/>
      <c r="M22"/>
      <c r="N22"/>
      <c r="O22"/>
      <c r="P22"/>
      <c r="Q22"/>
      <c r="R22"/>
      <c r="S22"/>
      <c r="T22"/>
      <c r="U22"/>
    </row>
    <row r="23" spans="1:21" x14ac:dyDescent="0.25">
      <c r="A23"/>
      <c r="B23"/>
      <c r="C23"/>
      <c r="D23"/>
      <c r="E23"/>
      <c r="F23"/>
      <c r="G23"/>
      <c r="H23"/>
      <c r="I23"/>
      <c r="J23"/>
      <c r="K23"/>
      <c r="L23"/>
      <c r="M23"/>
      <c r="N23"/>
      <c r="O23"/>
      <c r="P23"/>
      <c r="Q23"/>
      <c r="R23"/>
      <c r="S23"/>
      <c r="T23"/>
      <c r="U23"/>
    </row>
    <row r="24" spans="1:21" x14ac:dyDescent="0.25">
      <c r="A24"/>
      <c r="B24"/>
      <c r="C24"/>
      <c r="D24"/>
      <c r="E24"/>
      <c r="F24"/>
      <c r="G24"/>
      <c r="H24"/>
      <c r="I24"/>
      <c r="J24"/>
      <c r="K24"/>
      <c r="L24"/>
      <c r="M24"/>
      <c r="N24"/>
      <c r="O24"/>
      <c r="P24"/>
      <c r="Q24"/>
      <c r="R24"/>
      <c r="S24"/>
      <c r="T24"/>
      <c r="U24"/>
    </row>
    <row r="25" spans="1:21" x14ac:dyDescent="0.25">
      <c r="A25"/>
      <c r="B25"/>
      <c r="C25"/>
      <c r="D25"/>
      <c r="E25"/>
      <c r="F25"/>
      <c r="G25"/>
      <c r="H25"/>
      <c r="I25"/>
      <c r="J25"/>
      <c r="K25"/>
      <c r="L25"/>
      <c r="M25"/>
      <c r="N25"/>
      <c r="O25"/>
      <c r="P25"/>
      <c r="Q25"/>
      <c r="R25"/>
      <c r="S25"/>
      <c r="T25"/>
      <c r="U25"/>
    </row>
    <row r="26" spans="1:21" x14ac:dyDescent="0.25">
      <c r="A26"/>
      <c r="B26"/>
      <c r="C26"/>
      <c r="D26"/>
      <c r="E26"/>
      <c r="F26"/>
      <c r="G26"/>
      <c r="H26"/>
      <c r="I26"/>
      <c r="J26"/>
      <c r="K26"/>
      <c r="L26"/>
      <c r="M26"/>
      <c r="N26"/>
      <c r="O26"/>
      <c r="P26"/>
      <c r="Q26"/>
      <c r="R26"/>
      <c r="S26"/>
      <c r="T26"/>
      <c r="U26"/>
    </row>
    <row r="27" spans="1:21" x14ac:dyDescent="0.25">
      <c r="A27"/>
      <c r="B27"/>
      <c r="C27"/>
      <c r="D27"/>
      <c r="E27"/>
      <c r="F27"/>
      <c r="G27"/>
      <c r="H27"/>
      <c r="I27"/>
      <c r="J27"/>
      <c r="K27"/>
      <c r="L27"/>
      <c r="M27"/>
      <c r="N27"/>
      <c r="O27"/>
      <c r="P27"/>
      <c r="Q27"/>
      <c r="R27"/>
      <c r="S27"/>
      <c r="T27"/>
      <c r="U27"/>
    </row>
    <row r="28" spans="1:21" x14ac:dyDescent="0.25">
      <c r="A28"/>
      <c r="B28"/>
      <c r="C28"/>
      <c r="D28"/>
      <c r="E28"/>
      <c r="F28"/>
      <c r="G28"/>
      <c r="H28"/>
      <c r="I28"/>
      <c r="J28"/>
      <c r="K28"/>
      <c r="L28"/>
      <c r="M28"/>
      <c r="N28"/>
      <c r="O28"/>
      <c r="P28"/>
      <c r="Q28"/>
      <c r="R28"/>
      <c r="S28"/>
      <c r="T28"/>
      <c r="U28"/>
    </row>
    <row r="29" spans="1:21" x14ac:dyDescent="0.25">
      <c r="A29"/>
      <c r="B29"/>
      <c r="C29"/>
      <c r="D29"/>
      <c r="E29"/>
      <c r="F29"/>
      <c r="G29"/>
      <c r="H29"/>
      <c r="I29"/>
      <c r="J29"/>
      <c r="K29"/>
      <c r="L29"/>
      <c r="M29"/>
      <c r="N29"/>
      <c r="O29"/>
      <c r="P29"/>
      <c r="Q29"/>
      <c r="R29"/>
      <c r="S29"/>
      <c r="T29"/>
      <c r="U29"/>
    </row>
    <row r="30" spans="1:21" x14ac:dyDescent="0.25">
      <c r="A30"/>
      <c r="B30"/>
      <c r="C30"/>
      <c r="D30"/>
      <c r="E30"/>
      <c r="F30"/>
      <c r="G30"/>
      <c r="H30"/>
      <c r="I30"/>
      <c r="J30"/>
      <c r="K30"/>
      <c r="L30"/>
      <c r="M30"/>
      <c r="N30"/>
      <c r="O30"/>
      <c r="P30"/>
      <c r="Q30"/>
      <c r="R30"/>
      <c r="S30"/>
      <c r="T30"/>
      <c r="U30"/>
    </row>
    <row r="31" spans="1:21" x14ac:dyDescent="0.25">
      <c r="A31"/>
      <c r="B31"/>
      <c r="C31"/>
      <c r="D31"/>
      <c r="E31"/>
      <c r="F31"/>
      <c r="G31"/>
      <c r="H31"/>
      <c r="I31"/>
      <c r="J31"/>
      <c r="K31"/>
      <c r="L31"/>
      <c r="M31"/>
      <c r="N31"/>
      <c r="O31"/>
      <c r="P31"/>
      <c r="Q31"/>
      <c r="R31"/>
      <c r="S31"/>
      <c r="T31"/>
      <c r="U31"/>
    </row>
    <row r="32" spans="1:21" x14ac:dyDescent="0.25">
      <c r="A32"/>
      <c r="B32"/>
      <c r="C32"/>
      <c r="D32"/>
      <c r="E32"/>
      <c r="F32"/>
      <c r="G32"/>
      <c r="H32"/>
      <c r="I32"/>
      <c r="J32"/>
      <c r="K32"/>
      <c r="L32"/>
      <c r="M32"/>
      <c r="N32"/>
      <c r="O32"/>
      <c r="P32"/>
      <c r="Q32"/>
      <c r="R32"/>
      <c r="S32"/>
      <c r="T32"/>
      <c r="U32"/>
    </row>
    <row r="33" spans="1:21" x14ac:dyDescent="0.25">
      <c r="A33"/>
      <c r="B33"/>
      <c r="C33"/>
      <c r="D33"/>
      <c r="E33"/>
      <c r="F33"/>
      <c r="G33"/>
      <c r="H33"/>
      <c r="I33"/>
      <c r="J33"/>
      <c r="K33"/>
      <c r="L33"/>
      <c r="M33"/>
      <c r="N33"/>
      <c r="O33"/>
      <c r="P33"/>
      <c r="Q33"/>
      <c r="R33"/>
      <c r="S33"/>
      <c r="T33"/>
      <c r="U33"/>
    </row>
    <row r="34" spans="1:21" x14ac:dyDescent="0.25">
      <c r="A34"/>
      <c r="B34"/>
      <c r="C34"/>
      <c r="D34"/>
      <c r="E34"/>
      <c r="F34"/>
      <c r="G34"/>
      <c r="H34"/>
      <c r="I34"/>
      <c r="J34"/>
      <c r="K34"/>
      <c r="L34"/>
      <c r="M34"/>
      <c r="N34"/>
      <c r="O34"/>
      <c r="P34"/>
      <c r="Q34"/>
      <c r="R34"/>
      <c r="S34"/>
      <c r="T34"/>
      <c r="U34"/>
    </row>
    <row r="35" spans="1:21" x14ac:dyDescent="0.25">
      <c r="A35"/>
      <c r="B35"/>
      <c r="C35"/>
      <c r="D35"/>
      <c r="E35"/>
      <c r="F35"/>
      <c r="G35"/>
      <c r="H35"/>
      <c r="I35"/>
      <c r="J35"/>
      <c r="K35"/>
      <c r="L35"/>
      <c r="M35"/>
      <c r="N35"/>
      <c r="O35"/>
      <c r="P35"/>
      <c r="Q35"/>
      <c r="R35"/>
      <c r="S35"/>
      <c r="T35"/>
      <c r="U35"/>
    </row>
    <row r="36" spans="1:21" x14ac:dyDescent="0.25">
      <c r="A36"/>
      <c r="B36"/>
      <c r="C36"/>
      <c r="D36"/>
      <c r="E36"/>
      <c r="F36"/>
      <c r="G36"/>
      <c r="H36"/>
      <c r="I36"/>
      <c r="J36"/>
      <c r="K36"/>
      <c r="L36"/>
      <c r="M36"/>
      <c r="N36"/>
      <c r="O36"/>
      <c r="P36"/>
      <c r="Q36"/>
      <c r="R36"/>
      <c r="S36"/>
      <c r="T36"/>
      <c r="U36"/>
    </row>
    <row r="37" spans="1:21" x14ac:dyDescent="0.25">
      <c r="A37"/>
      <c r="B37"/>
      <c r="C37"/>
      <c r="D37"/>
      <c r="E37"/>
      <c r="F37"/>
      <c r="G37"/>
      <c r="H37"/>
      <c r="I37"/>
      <c r="J37"/>
      <c r="K37"/>
      <c r="L37"/>
      <c r="M37"/>
      <c r="N37"/>
      <c r="O37"/>
      <c r="P37"/>
      <c r="Q37"/>
      <c r="R37"/>
      <c r="S37"/>
      <c r="T37"/>
      <c r="U37"/>
    </row>
    <row r="38" spans="1:21" x14ac:dyDescent="0.25">
      <c r="A38"/>
      <c r="B38"/>
      <c r="C38"/>
      <c r="D38"/>
      <c r="E38"/>
      <c r="F38"/>
      <c r="G38"/>
      <c r="H38"/>
      <c r="I38"/>
      <c r="J38"/>
      <c r="K38"/>
      <c r="L38"/>
      <c r="M38"/>
      <c r="N38"/>
      <c r="O38"/>
      <c r="P38"/>
      <c r="Q38"/>
      <c r="R38"/>
      <c r="S38"/>
      <c r="T38"/>
      <c r="U38"/>
    </row>
    <row r="39" spans="1:21" x14ac:dyDescent="0.25">
      <c r="A39"/>
      <c r="B39"/>
      <c r="C39"/>
      <c r="D39"/>
      <c r="E39"/>
      <c r="F39"/>
      <c r="G39"/>
      <c r="H39"/>
      <c r="I39"/>
      <c r="J39"/>
      <c r="K39"/>
      <c r="L39"/>
      <c r="M39"/>
      <c r="N39"/>
      <c r="O39"/>
      <c r="P39"/>
      <c r="Q39"/>
      <c r="R39"/>
      <c r="S39"/>
      <c r="T39"/>
      <c r="U39"/>
    </row>
    <row r="40" spans="1:21" x14ac:dyDescent="0.25">
      <c r="A40"/>
      <c r="B40"/>
      <c r="C40"/>
      <c r="D40"/>
      <c r="E40"/>
      <c r="F40"/>
      <c r="G40"/>
      <c r="H40"/>
      <c r="I40"/>
      <c r="J40"/>
      <c r="K40"/>
      <c r="L40"/>
      <c r="M40"/>
      <c r="N40"/>
      <c r="O40"/>
      <c r="P40"/>
      <c r="Q40"/>
      <c r="R40"/>
      <c r="S40"/>
      <c r="T40"/>
      <c r="U40"/>
    </row>
    <row r="41" spans="1:21" x14ac:dyDescent="0.25">
      <c r="A41"/>
      <c r="B41"/>
      <c r="C41"/>
      <c r="D41"/>
      <c r="E41"/>
      <c r="F41"/>
      <c r="G41"/>
      <c r="H41"/>
      <c r="I41"/>
      <c r="J41"/>
      <c r="K41"/>
      <c r="L41"/>
      <c r="M41"/>
      <c r="N41"/>
      <c r="O41"/>
      <c r="P41"/>
      <c r="Q41"/>
      <c r="R41"/>
      <c r="S41"/>
      <c r="T41"/>
      <c r="U41"/>
    </row>
    <row r="42" spans="1:21" x14ac:dyDescent="0.25">
      <c r="A42"/>
      <c r="B42"/>
      <c r="C42"/>
      <c r="D42"/>
      <c r="E42"/>
      <c r="F42"/>
      <c r="G42"/>
      <c r="H42"/>
      <c r="I42"/>
      <c r="J42"/>
      <c r="K42"/>
      <c r="L42"/>
      <c r="M42"/>
      <c r="N42"/>
      <c r="O42"/>
      <c r="P42"/>
      <c r="Q42"/>
      <c r="R42"/>
      <c r="S42"/>
      <c r="T42"/>
      <c r="U42"/>
    </row>
    <row r="43" spans="1:21" x14ac:dyDescent="0.25">
      <c r="A43"/>
      <c r="B43"/>
      <c r="C43"/>
      <c r="D43"/>
      <c r="E43"/>
      <c r="F43"/>
      <c r="G43"/>
      <c r="H43"/>
      <c r="I43"/>
      <c r="J43"/>
      <c r="K43"/>
      <c r="L43"/>
      <c r="M43"/>
      <c r="N43"/>
      <c r="O43"/>
      <c r="P43"/>
      <c r="Q43"/>
      <c r="R43"/>
      <c r="S43"/>
      <c r="T43"/>
      <c r="U43"/>
    </row>
    <row r="44" spans="1:21" x14ac:dyDescent="0.25">
      <c r="A44"/>
      <c r="B44"/>
      <c r="C44"/>
      <c r="D44"/>
      <c r="E44"/>
      <c r="F44"/>
      <c r="G44"/>
      <c r="H44"/>
      <c r="I44"/>
      <c r="J44"/>
      <c r="K44"/>
      <c r="L44"/>
      <c r="M44"/>
      <c r="N44"/>
      <c r="O44"/>
      <c r="P44"/>
      <c r="Q44"/>
      <c r="R44"/>
      <c r="S44"/>
      <c r="T44"/>
      <c r="U44"/>
    </row>
    <row r="45" spans="1:21" x14ac:dyDescent="0.25">
      <c r="A45"/>
      <c r="B45"/>
      <c r="C45"/>
      <c r="D45"/>
      <c r="E45"/>
      <c r="F45"/>
      <c r="G45"/>
      <c r="H45"/>
      <c r="I45"/>
      <c r="J45"/>
      <c r="K45"/>
      <c r="L45"/>
      <c r="M45"/>
      <c r="N45"/>
      <c r="O45"/>
      <c r="P45"/>
      <c r="Q45"/>
      <c r="R45"/>
      <c r="S45"/>
      <c r="T45"/>
      <c r="U45"/>
    </row>
    <row r="46" spans="1:21" x14ac:dyDescent="0.25">
      <c r="A46"/>
      <c r="B46"/>
      <c r="C46"/>
      <c r="D46"/>
      <c r="E46"/>
      <c r="F46"/>
      <c r="G46"/>
      <c r="H46"/>
      <c r="I46"/>
      <c r="J46"/>
      <c r="K46"/>
      <c r="L46"/>
      <c r="M46"/>
      <c r="N46"/>
      <c r="O46"/>
      <c r="P46"/>
      <c r="Q46"/>
      <c r="R46"/>
      <c r="S46"/>
      <c r="T46"/>
      <c r="U46"/>
    </row>
    <row r="47" spans="1:21" x14ac:dyDescent="0.25">
      <c r="A47"/>
      <c r="B47"/>
      <c r="C47"/>
      <c r="D47"/>
      <c r="E47"/>
      <c r="F47"/>
      <c r="G47"/>
      <c r="H47"/>
      <c r="I47"/>
      <c r="J47"/>
      <c r="K47"/>
      <c r="L47"/>
      <c r="M47"/>
      <c r="N47"/>
      <c r="O47"/>
      <c r="P47"/>
      <c r="Q47"/>
      <c r="R47"/>
      <c r="S47"/>
      <c r="T47"/>
      <c r="U47"/>
    </row>
    <row r="48" spans="1:21" x14ac:dyDescent="0.25">
      <c r="A48"/>
      <c r="B48"/>
      <c r="C48"/>
      <c r="D48"/>
      <c r="E48"/>
      <c r="F48"/>
      <c r="G48"/>
      <c r="H48"/>
      <c r="I48"/>
      <c r="J48"/>
      <c r="K48"/>
      <c r="L48"/>
      <c r="M48"/>
      <c r="N48"/>
      <c r="O48"/>
      <c r="P48"/>
      <c r="Q48"/>
      <c r="R48"/>
      <c r="S48"/>
      <c r="T48"/>
      <c r="U48"/>
    </row>
    <row r="49" spans="1:21" x14ac:dyDescent="0.25">
      <c r="A49"/>
      <c r="B49"/>
      <c r="C49"/>
      <c r="D49"/>
      <c r="E49"/>
      <c r="F49"/>
      <c r="G49"/>
      <c r="H49"/>
      <c r="I49"/>
      <c r="J49"/>
      <c r="K49"/>
      <c r="L49"/>
      <c r="M49"/>
      <c r="N49"/>
      <c r="O49"/>
      <c r="P49"/>
      <c r="Q49"/>
      <c r="R49"/>
      <c r="S49"/>
      <c r="T49"/>
      <c r="U49"/>
    </row>
    <row r="50" spans="1:21" x14ac:dyDescent="0.25">
      <c r="A50"/>
      <c r="B50"/>
      <c r="C50"/>
      <c r="D50"/>
      <c r="E50"/>
      <c r="F50"/>
      <c r="G50"/>
      <c r="H50"/>
      <c r="I50"/>
      <c r="J50"/>
      <c r="K50"/>
      <c r="L50"/>
      <c r="M50"/>
      <c r="N50"/>
      <c r="O50"/>
      <c r="P50"/>
      <c r="Q50"/>
      <c r="R50"/>
      <c r="S50"/>
      <c r="T50"/>
      <c r="U50"/>
    </row>
    <row r="51" spans="1:21" x14ac:dyDescent="0.25">
      <c r="A51"/>
      <c r="B51"/>
      <c r="C51"/>
      <c r="D51"/>
      <c r="E51"/>
      <c r="F51"/>
      <c r="G51"/>
      <c r="H51"/>
      <c r="I51"/>
      <c r="J51"/>
      <c r="K51"/>
      <c r="L51"/>
      <c r="M51"/>
      <c r="N51"/>
      <c r="O51"/>
      <c r="P51"/>
      <c r="Q51"/>
      <c r="R51"/>
      <c r="S51"/>
      <c r="T51"/>
      <c r="U51"/>
    </row>
    <row r="52" spans="1:21" x14ac:dyDescent="0.25">
      <c r="A52"/>
      <c r="B52"/>
      <c r="C52"/>
      <c r="D52"/>
      <c r="E52"/>
      <c r="F52"/>
      <c r="G52"/>
      <c r="H52"/>
      <c r="I52"/>
      <c r="J52"/>
      <c r="K52"/>
      <c r="L52"/>
      <c r="M52"/>
      <c r="N52"/>
      <c r="O52"/>
      <c r="P52"/>
      <c r="Q52"/>
      <c r="R52"/>
      <c r="S52"/>
      <c r="T52"/>
      <c r="U52"/>
    </row>
    <row r="53" spans="1:21" x14ac:dyDescent="0.25">
      <c r="A53"/>
      <c r="B53"/>
      <c r="C53"/>
      <c r="D53"/>
      <c r="E53"/>
      <c r="F53"/>
      <c r="G53"/>
      <c r="H53"/>
      <c r="I53"/>
      <c r="J53"/>
      <c r="K53"/>
      <c r="L53"/>
      <c r="M53"/>
      <c r="N53"/>
      <c r="O53"/>
      <c r="P53"/>
      <c r="Q53"/>
      <c r="R53"/>
      <c r="S53"/>
      <c r="T53"/>
      <c r="U53"/>
    </row>
    <row r="54" spans="1:21" x14ac:dyDescent="0.25">
      <c r="A54"/>
      <c r="B54"/>
      <c r="C54"/>
      <c r="D54"/>
      <c r="E54"/>
      <c r="F54"/>
      <c r="G54"/>
      <c r="H54"/>
      <c r="I54"/>
      <c r="J54"/>
      <c r="K54"/>
      <c r="L54"/>
      <c r="M54"/>
      <c r="N54"/>
      <c r="O54"/>
      <c r="P54"/>
      <c r="Q54"/>
      <c r="R54"/>
      <c r="S54"/>
      <c r="T54"/>
      <c r="U54"/>
    </row>
    <row r="55" spans="1:21" x14ac:dyDescent="0.25">
      <c r="A55"/>
      <c r="B55"/>
      <c r="C55"/>
      <c r="D55"/>
      <c r="E55"/>
      <c r="F55"/>
      <c r="G55"/>
      <c r="H55"/>
      <c r="I55"/>
      <c r="J55"/>
      <c r="K55"/>
      <c r="L55"/>
      <c r="M55"/>
      <c r="N55"/>
      <c r="O55"/>
      <c r="P55"/>
      <c r="Q55"/>
      <c r="R55"/>
      <c r="S55"/>
      <c r="T55"/>
      <c r="U55"/>
    </row>
    <row r="56" spans="1:21" x14ac:dyDescent="0.25">
      <c r="A56"/>
      <c r="B56"/>
      <c r="C56"/>
      <c r="D56"/>
      <c r="E56"/>
      <c r="F56"/>
      <c r="G56"/>
      <c r="H56"/>
      <c r="I56"/>
      <c r="J56"/>
      <c r="K56"/>
      <c r="L56"/>
      <c r="M56"/>
      <c r="N56"/>
      <c r="O56"/>
      <c r="P56"/>
      <c r="Q56"/>
      <c r="R56"/>
      <c r="S56"/>
      <c r="T56"/>
      <c r="U56"/>
    </row>
    <row r="57" spans="1:21" x14ac:dyDescent="0.25">
      <c r="A57"/>
      <c r="B57"/>
      <c r="C57"/>
      <c r="D57"/>
      <c r="E57"/>
      <c r="F57"/>
      <c r="G57"/>
      <c r="H57"/>
      <c r="I57"/>
      <c r="J57"/>
      <c r="K57"/>
      <c r="L57"/>
      <c r="M57"/>
      <c r="N57"/>
      <c r="O57"/>
      <c r="P57"/>
      <c r="Q57"/>
      <c r="R57"/>
      <c r="S57"/>
      <c r="T57"/>
      <c r="U57"/>
    </row>
    <row r="58" spans="1:21" x14ac:dyDescent="0.25">
      <c r="A58"/>
      <c r="B58"/>
      <c r="C58"/>
      <c r="D58"/>
      <c r="E58"/>
      <c r="F58"/>
      <c r="G58"/>
      <c r="H58"/>
      <c r="I58"/>
      <c r="J58"/>
      <c r="K58"/>
      <c r="L58"/>
      <c r="M58"/>
      <c r="N58"/>
      <c r="O58"/>
      <c r="P58"/>
      <c r="Q58"/>
      <c r="R58"/>
      <c r="S58"/>
      <c r="T58"/>
      <c r="U58"/>
    </row>
    <row r="59" spans="1:21" x14ac:dyDescent="0.25">
      <c r="A59"/>
      <c r="B59"/>
      <c r="C59"/>
      <c r="D59"/>
      <c r="E59"/>
      <c r="F59"/>
      <c r="G59"/>
      <c r="H59"/>
      <c r="I59"/>
      <c r="J59"/>
      <c r="K59"/>
      <c r="L59"/>
      <c r="M59"/>
      <c r="N59"/>
      <c r="O59"/>
      <c r="P59"/>
      <c r="Q59"/>
      <c r="R59"/>
      <c r="S59"/>
      <c r="T59"/>
      <c r="U59"/>
    </row>
    <row r="60" spans="1:21" x14ac:dyDescent="0.25">
      <c r="A60"/>
      <c r="B60"/>
      <c r="C60"/>
      <c r="D60"/>
      <c r="E60"/>
      <c r="F60"/>
      <c r="G60"/>
      <c r="H60"/>
      <c r="I60"/>
      <c r="J60"/>
      <c r="K60"/>
      <c r="L60"/>
      <c r="M60"/>
      <c r="N60"/>
      <c r="O60"/>
      <c r="P60"/>
      <c r="Q60"/>
      <c r="R60"/>
      <c r="S60"/>
      <c r="T60"/>
      <c r="U60"/>
    </row>
    <row r="61" spans="1:21" x14ac:dyDescent="0.25">
      <c r="A61"/>
      <c r="B61"/>
      <c r="C61"/>
      <c r="D61"/>
      <c r="E61"/>
      <c r="F61"/>
      <c r="G61"/>
      <c r="H61"/>
      <c r="I61"/>
      <c r="J61"/>
      <c r="K61"/>
      <c r="L61"/>
      <c r="M61"/>
      <c r="N61"/>
      <c r="O61"/>
      <c r="P61"/>
      <c r="Q61"/>
      <c r="R61"/>
      <c r="S61"/>
      <c r="T61"/>
      <c r="U61"/>
    </row>
    <row r="62" spans="1:21" x14ac:dyDescent="0.25">
      <c r="A62"/>
      <c r="B62"/>
      <c r="C62"/>
      <c r="D62"/>
      <c r="E62"/>
      <c r="F62"/>
      <c r="G62"/>
      <c r="H62"/>
      <c r="I62"/>
      <c r="J62"/>
      <c r="K62"/>
      <c r="L62"/>
      <c r="M62"/>
      <c r="N62"/>
      <c r="O62"/>
      <c r="P62"/>
      <c r="Q62"/>
      <c r="R62"/>
      <c r="S62"/>
      <c r="T62"/>
      <c r="U62"/>
    </row>
    <row r="63" spans="1:21" x14ac:dyDescent="0.25">
      <c r="A63"/>
      <c r="B63"/>
      <c r="C63"/>
      <c r="D63"/>
      <c r="E63"/>
      <c r="F63"/>
      <c r="G63"/>
      <c r="H63"/>
      <c r="I63"/>
      <c r="J63"/>
      <c r="K63"/>
      <c r="L63"/>
      <c r="M63"/>
      <c r="N63"/>
      <c r="O63"/>
      <c r="P63"/>
      <c r="Q63"/>
      <c r="R63"/>
      <c r="S63"/>
      <c r="T63"/>
      <c r="U63"/>
    </row>
    <row r="64" spans="1:21" x14ac:dyDescent="0.25">
      <c r="A64"/>
      <c r="B64"/>
      <c r="C64"/>
      <c r="D64"/>
      <c r="E64"/>
      <c r="F64"/>
      <c r="G64"/>
      <c r="H64"/>
      <c r="I64"/>
      <c r="J64"/>
      <c r="K64"/>
      <c r="L64"/>
      <c r="M64"/>
      <c r="N64"/>
      <c r="O64"/>
      <c r="P64"/>
      <c r="Q64"/>
      <c r="R64"/>
      <c r="S64"/>
      <c r="T64"/>
      <c r="U64"/>
    </row>
    <row r="65" spans="1:21" x14ac:dyDescent="0.25">
      <c r="A65"/>
      <c r="B65"/>
      <c r="C65"/>
      <c r="D65"/>
      <c r="E65"/>
      <c r="F65"/>
      <c r="G65"/>
      <c r="H65"/>
      <c r="I65"/>
      <c r="J65"/>
      <c r="K65"/>
      <c r="L65"/>
      <c r="M65"/>
      <c r="N65"/>
      <c r="O65"/>
      <c r="P65"/>
      <c r="Q65"/>
      <c r="R65"/>
      <c r="S65"/>
      <c r="T65"/>
      <c r="U65"/>
    </row>
    <row r="66" spans="1:21" x14ac:dyDescent="0.25">
      <c r="A66"/>
      <c r="B66"/>
      <c r="C66"/>
      <c r="D66"/>
      <c r="E66"/>
      <c r="F66"/>
      <c r="G66"/>
      <c r="H66"/>
      <c r="I66"/>
      <c r="J66"/>
      <c r="K66"/>
      <c r="L66"/>
      <c r="M66"/>
      <c r="N66"/>
      <c r="O66"/>
      <c r="P66"/>
      <c r="Q66"/>
      <c r="R66"/>
      <c r="S66"/>
      <c r="T66"/>
      <c r="U66"/>
    </row>
    <row r="67" spans="1:21" x14ac:dyDescent="0.25">
      <c r="A67"/>
      <c r="B67"/>
      <c r="C67"/>
      <c r="D67"/>
      <c r="E67"/>
      <c r="F67"/>
      <c r="G67"/>
      <c r="H67"/>
      <c r="I67"/>
      <c r="J67"/>
      <c r="K67"/>
      <c r="L67"/>
      <c r="M67"/>
      <c r="N67"/>
      <c r="O67"/>
      <c r="P67"/>
      <c r="Q67"/>
      <c r="R67"/>
      <c r="S67"/>
      <c r="T67"/>
      <c r="U67"/>
    </row>
    <row r="68" spans="1:21" x14ac:dyDescent="0.25">
      <c r="A68"/>
      <c r="B68"/>
      <c r="C68"/>
      <c r="D68"/>
      <c r="E68"/>
      <c r="F68"/>
      <c r="G68"/>
      <c r="H68"/>
      <c r="I68"/>
      <c r="J68"/>
      <c r="K68"/>
      <c r="L68"/>
      <c r="M68"/>
      <c r="N68"/>
      <c r="O68"/>
      <c r="P68"/>
      <c r="Q68"/>
      <c r="R68"/>
      <c r="S68"/>
      <c r="T68"/>
      <c r="U68"/>
    </row>
    <row r="69" spans="1:21" x14ac:dyDescent="0.25">
      <c r="A69"/>
      <c r="B69"/>
      <c r="C69"/>
      <c r="D69"/>
      <c r="E69"/>
      <c r="F69"/>
      <c r="G69"/>
      <c r="H69"/>
      <c r="I69"/>
      <c r="J69"/>
      <c r="K69"/>
      <c r="L69"/>
      <c r="M69"/>
      <c r="N69"/>
      <c r="O69"/>
      <c r="P69"/>
      <c r="Q69"/>
      <c r="R69"/>
      <c r="S69"/>
      <c r="T69"/>
      <c r="U69"/>
    </row>
    <row r="70" spans="1:21" x14ac:dyDescent="0.25">
      <c r="A70"/>
      <c r="B70"/>
      <c r="C70"/>
      <c r="D70"/>
      <c r="E70"/>
      <c r="F70"/>
      <c r="G70"/>
      <c r="H70"/>
      <c r="I70"/>
      <c r="J70"/>
      <c r="K70"/>
      <c r="L70"/>
      <c r="M70"/>
      <c r="N70"/>
      <c r="O70"/>
      <c r="P70"/>
      <c r="Q70"/>
      <c r="R70"/>
      <c r="S70"/>
      <c r="T70"/>
      <c r="U70"/>
    </row>
    <row r="71" spans="1:21" x14ac:dyDescent="0.25">
      <c r="A71"/>
      <c r="B71"/>
      <c r="C71"/>
      <c r="D71"/>
      <c r="E71"/>
      <c r="F71"/>
      <c r="G71"/>
      <c r="H71"/>
      <c r="I71"/>
      <c r="J71"/>
      <c r="K71"/>
      <c r="L71"/>
      <c r="M71"/>
      <c r="N71"/>
      <c r="O71"/>
      <c r="P71"/>
      <c r="Q71"/>
      <c r="R71"/>
      <c r="S71"/>
      <c r="T71"/>
      <c r="U71"/>
    </row>
    <row r="72" spans="1:21" x14ac:dyDescent="0.25">
      <c r="A72"/>
      <c r="B72"/>
      <c r="C72"/>
      <c r="D72"/>
      <c r="E72"/>
      <c r="F72"/>
      <c r="G72"/>
      <c r="H72"/>
      <c r="I72"/>
      <c r="J72"/>
      <c r="K72"/>
      <c r="L72"/>
      <c r="M72"/>
      <c r="N72"/>
      <c r="O72"/>
      <c r="P72"/>
      <c r="Q72"/>
      <c r="R72"/>
      <c r="S72"/>
      <c r="T72"/>
      <c r="U72"/>
    </row>
    <row r="73" spans="1:21" x14ac:dyDescent="0.25">
      <c r="A73"/>
      <c r="B73"/>
      <c r="C73"/>
      <c r="D73"/>
      <c r="E73"/>
      <c r="F73"/>
      <c r="G73"/>
      <c r="H73"/>
      <c r="I73"/>
      <c r="J73"/>
      <c r="K73"/>
      <c r="L73"/>
      <c r="M73"/>
      <c r="N73"/>
      <c r="O73"/>
      <c r="P73"/>
      <c r="Q73"/>
      <c r="R73"/>
      <c r="S73"/>
      <c r="T73"/>
      <c r="U73"/>
    </row>
    <row r="74" spans="1:21" x14ac:dyDescent="0.25">
      <c r="A74"/>
      <c r="B74"/>
      <c r="C74"/>
      <c r="D74"/>
      <c r="E74"/>
      <c r="F74"/>
      <c r="G74"/>
      <c r="H74"/>
      <c r="I74"/>
      <c r="J74"/>
      <c r="K74"/>
      <c r="L74"/>
      <c r="M74"/>
      <c r="N74"/>
      <c r="O74"/>
      <c r="P74"/>
      <c r="Q74"/>
      <c r="R74"/>
      <c r="S74"/>
      <c r="T74"/>
      <c r="U74"/>
    </row>
    <row r="75" spans="1:21" x14ac:dyDescent="0.25">
      <c r="A75"/>
      <c r="B75"/>
      <c r="C75"/>
      <c r="D75"/>
      <c r="E75"/>
      <c r="F75"/>
      <c r="G75"/>
      <c r="H75"/>
      <c r="I75"/>
      <c r="J75"/>
      <c r="K75"/>
      <c r="L75"/>
      <c r="M75"/>
      <c r="N75"/>
      <c r="O75"/>
      <c r="P75"/>
      <c r="Q75"/>
      <c r="R75"/>
      <c r="S75"/>
      <c r="T75"/>
      <c r="U75"/>
    </row>
    <row r="76" spans="1:21" x14ac:dyDescent="0.25">
      <c r="A76"/>
      <c r="B76"/>
      <c r="C76"/>
      <c r="D76"/>
      <c r="E76"/>
      <c r="F76"/>
      <c r="G76"/>
      <c r="H76"/>
      <c r="I76"/>
      <c r="J76"/>
      <c r="K76"/>
      <c r="L76"/>
      <c r="M76"/>
      <c r="N76"/>
      <c r="O76"/>
      <c r="P76"/>
      <c r="Q76"/>
      <c r="R76"/>
      <c r="S76"/>
      <c r="T76"/>
      <c r="U76"/>
    </row>
    <row r="77" spans="1:21" x14ac:dyDescent="0.25">
      <c r="A77"/>
      <c r="B77"/>
      <c r="C77"/>
      <c r="D77"/>
      <c r="E77"/>
      <c r="F77"/>
      <c r="G77"/>
      <c r="H77"/>
      <c r="I77"/>
      <c r="J77"/>
      <c r="K77"/>
      <c r="L77"/>
      <c r="M77"/>
      <c r="N77"/>
      <c r="O77"/>
      <c r="P77"/>
      <c r="Q77"/>
      <c r="R77"/>
      <c r="S77"/>
      <c r="T77"/>
      <c r="U77"/>
    </row>
    <row r="78" spans="1:21" x14ac:dyDescent="0.25">
      <c r="A78"/>
      <c r="B78"/>
      <c r="C78"/>
      <c r="D78"/>
      <c r="E78"/>
      <c r="F78"/>
      <c r="G78"/>
      <c r="H78"/>
      <c r="I78"/>
      <c r="J78"/>
      <c r="K78"/>
      <c r="L78"/>
      <c r="M78"/>
      <c r="N78"/>
      <c r="O78"/>
      <c r="P78"/>
      <c r="Q78"/>
      <c r="R78"/>
      <c r="S78"/>
      <c r="T78"/>
      <c r="U78"/>
    </row>
    <row r="79" spans="1:21" x14ac:dyDescent="0.25">
      <c r="A79"/>
      <c r="B79"/>
      <c r="C79"/>
      <c r="D79"/>
      <c r="E79"/>
      <c r="F79"/>
      <c r="G79"/>
      <c r="H79"/>
      <c r="I79"/>
      <c r="J79"/>
      <c r="K79"/>
      <c r="L79"/>
      <c r="M79"/>
      <c r="N79"/>
      <c r="O79"/>
      <c r="P79"/>
      <c r="Q79"/>
      <c r="R79"/>
      <c r="S79"/>
      <c r="T79"/>
      <c r="U79"/>
    </row>
    <row r="80" spans="1:21" x14ac:dyDescent="0.25">
      <c r="A80"/>
      <c r="B80"/>
      <c r="C80"/>
      <c r="D80"/>
      <c r="E80"/>
      <c r="F80"/>
      <c r="G80"/>
      <c r="H80"/>
      <c r="I80"/>
      <c r="J80"/>
      <c r="K80"/>
      <c r="L80"/>
      <c r="M80"/>
      <c r="N80"/>
      <c r="O80"/>
      <c r="P80"/>
      <c r="Q80"/>
      <c r="R80"/>
      <c r="S80"/>
      <c r="T80"/>
      <c r="U80"/>
    </row>
    <row r="81" spans="1:21" x14ac:dyDescent="0.25">
      <c r="A81"/>
      <c r="B81"/>
      <c r="C81"/>
      <c r="D81"/>
      <c r="E81"/>
      <c r="F81"/>
      <c r="G81"/>
      <c r="H81"/>
      <c r="I81"/>
      <c r="J81"/>
      <c r="K81"/>
      <c r="L81"/>
      <c r="M81"/>
      <c r="N81"/>
      <c r="O81"/>
      <c r="P81"/>
      <c r="Q81"/>
      <c r="R81"/>
      <c r="S81"/>
      <c r="T81"/>
      <c r="U81"/>
    </row>
    <row r="82" spans="1:21" x14ac:dyDescent="0.25">
      <c r="A82"/>
      <c r="B82"/>
      <c r="C82"/>
      <c r="D82"/>
      <c r="E82"/>
      <c r="F82"/>
      <c r="G82"/>
      <c r="H82"/>
      <c r="I82"/>
      <c r="J82"/>
      <c r="K82"/>
      <c r="L82"/>
      <c r="M82"/>
      <c r="N82"/>
      <c r="O82"/>
      <c r="P82"/>
      <c r="Q82"/>
      <c r="R82"/>
      <c r="S82"/>
      <c r="T82"/>
      <c r="U82"/>
    </row>
    <row r="83" spans="1:21" x14ac:dyDescent="0.25">
      <c r="A83"/>
      <c r="B83"/>
      <c r="C83"/>
      <c r="D83"/>
      <c r="E83"/>
      <c r="F83"/>
      <c r="G83"/>
      <c r="H83"/>
      <c r="I83"/>
      <c r="J83"/>
      <c r="K83"/>
      <c r="L83"/>
      <c r="M83"/>
      <c r="N83"/>
      <c r="O83"/>
      <c r="P83"/>
      <c r="Q83"/>
      <c r="R83"/>
      <c r="S83"/>
      <c r="T83"/>
      <c r="U83"/>
    </row>
    <row r="84" spans="1:21" x14ac:dyDescent="0.25">
      <c r="A84"/>
      <c r="B84"/>
      <c r="C84"/>
      <c r="D84"/>
      <c r="E84"/>
      <c r="F84"/>
      <c r="G84"/>
      <c r="H84"/>
      <c r="I84"/>
      <c r="J84"/>
      <c r="K84"/>
      <c r="L84"/>
      <c r="M84"/>
      <c r="N84"/>
      <c r="O84"/>
      <c r="P84"/>
      <c r="Q84"/>
      <c r="R84"/>
      <c r="S84"/>
      <c r="T84"/>
      <c r="U84"/>
    </row>
    <row r="85" spans="1:21" x14ac:dyDescent="0.25">
      <c r="A85"/>
      <c r="B85"/>
      <c r="C85"/>
      <c r="D85"/>
      <c r="E85"/>
      <c r="F85"/>
      <c r="G85"/>
      <c r="H85"/>
      <c r="I85"/>
      <c r="J85"/>
      <c r="K85"/>
      <c r="L85"/>
      <c r="M85"/>
      <c r="N85"/>
      <c r="O85"/>
      <c r="P85"/>
      <c r="Q85"/>
      <c r="R85"/>
      <c r="S85"/>
      <c r="T85"/>
      <c r="U85"/>
    </row>
    <row r="86" spans="1:21" x14ac:dyDescent="0.25">
      <c r="A86"/>
      <c r="B86"/>
      <c r="C86"/>
      <c r="D86"/>
      <c r="E86"/>
      <c r="F86"/>
      <c r="G86"/>
      <c r="H86"/>
      <c r="I86"/>
      <c r="J86"/>
      <c r="K86"/>
      <c r="L86"/>
      <c r="M86"/>
      <c r="N86"/>
      <c r="O86"/>
      <c r="P86"/>
      <c r="Q86"/>
      <c r="R86"/>
      <c r="S86"/>
      <c r="T86"/>
      <c r="U86"/>
    </row>
    <row r="87" spans="1:21" x14ac:dyDescent="0.25">
      <c r="A87"/>
      <c r="B87"/>
      <c r="C87"/>
      <c r="D87"/>
      <c r="E87"/>
      <c r="F87"/>
      <c r="G87"/>
      <c r="H87"/>
      <c r="I87"/>
      <c r="J87"/>
      <c r="K87"/>
      <c r="L87"/>
      <c r="M87"/>
      <c r="N87"/>
      <c r="O87"/>
      <c r="P87"/>
      <c r="Q87"/>
      <c r="R87"/>
      <c r="S87"/>
      <c r="T87"/>
      <c r="U87"/>
    </row>
    <row r="88" spans="1:21" x14ac:dyDescent="0.25">
      <c r="A88"/>
      <c r="B88"/>
      <c r="C88"/>
      <c r="D88"/>
      <c r="E88"/>
      <c r="F88"/>
      <c r="G88"/>
      <c r="H88"/>
      <c r="I88"/>
      <c r="J88"/>
      <c r="K88"/>
      <c r="L88"/>
      <c r="M88"/>
      <c r="N88"/>
      <c r="O88"/>
      <c r="P88"/>
      <c r="Q88"/>
      <c r="R88"/>
      <c r="S88"/>
      <c r="T88"/>
      <c r="U88"/>
    </row>
    <row r="89" spans="1:21" x14ac:dyDescent="0.25">
      <c r="A89"/>
      <c r="B89"/>
      <c r="C89"/>
      <c r="D89"/>
      <c r="E89"/>
      <c r="F89"/>
      <c r="G89"/>
      <c r="H89"/>
      <c r="I89"/>
      <c r="J89"/>
      <c r="K89"/>
      <c r="L89"/>
      <c r="M89"/>
      <c r="N89"/>
      <c r="O89"/>
      <c r="P89"/>
      <c r="Q89"/>
      <c r="R89"/>
      <c r="S89"/>
      <c r="T89"/>
      <c r="U89"/>
    </row>
    <row r="90" spans="1:21" x14ac:dyDescent="0.25">
      <c r="A90"/>
      <c r="B90"/>
      <c r="C90"/>
      <c r="D90"/>
      <c r="E90"/>
      <c r="F90"/>
      <c r="G90"/>
      <c r="H90"/>
      <c r="I90"/>
      <c r="J90"/>
      <c r="K90"/>
      <c r="L90"/>
      <c r="M90"/>
      <c r="N90"/>
      <c r="O90"/>
      <c r="P90"/>
      <c r="Q90"/>
      <c r="R90"/>
      <c r="S90"/>
      <c r="T90"/>
      <c r="U90"/>
    </row>
    <row r="91" spans="1:21" x14ac:dyDescent="0.25">
      <c r="A91"/>
      <c r="B91"/>
      <c r="C91"/>
      <c r="D91"/>
      <c r="E91"/>
      <c r="F91"/>
      <c r="G91"/>
      <c r="H91"/>
      <c r="I91"/>
      <c r="J91"/>
      <c r="K91"/>
      <c r="L91"/>
      <c r="M91"/>
      <c r="N91"/>
      <c r="O91"/>
      <c r="P91"/>
      <c r="Q91"/>
      <c r="R91"/>
      <c r="S91"/>
      <c r="T91"/>
      <c r="U91"/>
    </row>
    <row r="92" spans="1:21" x14ac:dyDescent="0.25">
      <c r="A92"/>
      <c r="B92"/>
      <c r="C92"/>
      <c r="D92"/>
      <c r="E92"/>
      <c r="F92"/>
      <c r="G92"/>
      <c r="H92"/>
      <c r="I92"/>
      <c r="J92"/>
      <c r="K92"/>
      <c r="L92"/>
      <c r="M92"/>
      <c r="N92"/>
      <c r="O92"/>
      <c r="P92"/>
      <c r="Q92"/>
      <c r="R92"/>
      <c r="S92"/>
      <c r="T92"/>
      <c r="U92"/>
    </row>
    <row r="93" spans="1:21" x14ac:dyDescent="0.25">
      <c r="A93"/>
      <c r="B93"/>
      <c r="C93"/>
      <c r="D93"/>
      <c r="E93"/>
      <c r="F93"/>
      <c r="G93"/>
      <c r="H93"/>
      <c r="I93"/>
      <c r="J93"/>
      <c r="K93"/>
      <c r="L93"/>
      <c r="M93"/>
      <c r="N93"/>
      <c r="O93"/>
      <c r="P93"/>
      <c r="Q93"/>
      <c r="R93"/>
      <c r="S93"/>
      <c r="T93"/>
      <c r="U93"/>
    </row>
    <row r="94" spans="1:21" x14ac:dyDescent="0.25">
      <c r="A94"/>
      <c r="B94"/>
      <c r="C94"/>
      <c r="D94"/>
      <c r="E94"/>
      <c r="F94"/>
      <c r="G94"/>
      <c r="H94"/>
      <c r="I94"/>
      <c r="J94"/>
      <c r="K94"/>
      <c r="L94"/>
      <c r="M94"/>
      <c r="N94"/>
      <c r="O94"/>
      <c r="P94"/>
      <c r="Q94"/>
      <c r="R94"/>
      <c r="S94"/>
      <c r="T94"/>
      <c r="U94"/>
    </row>
    <row r="95" spans="1:21" x14ac:dyDescent="0.25">
      <c r="A95"/>
      <c r="B95"/>
      <c r="C95"/>
      <c r="D95"/>
      <c r="E95"/>
      <c r="F95"/>
      <c r="G95"/>
      <c r="H95"/>
      <c r="I95"/>
      <c r="J95"/>
      <c r="K95"/>
      <c r="L95"/>
      <c r="M95"/>
      <c r="N95"/>
      <c r="O95"/>
      <c r="P95"/>
      <c r="Q95"/>
      <c r="R95"/>
      <c r="S95"/>
      <c r="T95"/>
      <c r="U95"/>
    </row>
    <row r="96" spans="1:21" x14ac:dyDescent="0.25">
      <c r="A96"/>
      <c r="B96"/>
      <c r="C96"/>
      <c r="D96"/>
      <c r="E96"/>
      <c r="F96"/>
      <c r="G96"/>
      <c r="H96"/>
      <c r="I96"/>
      <c r="J96"/>
      <c r="K96"/>
      <c r="L96"/>
      <c r="M96"/>
      <c r="N96"/>
      <c r="O96"/>
      <c r="P96"/>
      <c r="Q96"/>
      <c r="R96"/>
      <c r="S96"/>
      <c r="T96"/>
      <c r="U96"/>
    </row>
    <row r="97" spans="1:21" x14ac:dyDescent="0.25">
      <c r="A97"/>
      <c r="B97"/>
      <c r="C97"/>
      <c r="D97"/>
      <c r="E97"/>
      <c r="F97"/>
      <c r="G97"/>
      <c r="H97"/>
      <c r="I97"/>
      <c r="J97"/>
      <c r="K97"/>
      <c r="L97"/>
      <c r="M97"/>
      <c r="N97"/>
      <c r="O97"/>
      <c r="P97"/>
      <c r="Q97"/>
      <c r="R97"/>
      <c r="S97"/>
      <c r="T97"/>
      <c r="U97"/>
    </row>
    <row r="98" spans="1:21" x14ac:dyDescent="0.25">
      <c r="A98"/>
      <c r="B98"/>
      <c r="C98"/>
      <c r="D98"/>
      <c r="E98"/>
      <c r="F98"/>
      <c r="G98"/>
      <c r="H98"/>
      <c r="I98"/>
      <c r="J98"/>
      <c r="K98"/>
      <c r="L98"/>
      <c r="M98"/>
      <c r="N98"/>
      <c r="O98"/>
      <c r="P98"/>
      <c r="Q98"/>
      <c r="R98"/>
      <c r="S98"/>
      <c r="T98"/>
      <c r="U98"/>
    </row>
    <row r="99" spans="1:21" x14ac:dyDescent="0.25">
      <c r="A99"/>
      <c r="B99"/>
      <c r="C99"/>
      <c r="D99"/>
      <c r="E99"/>
      <c r="F99"/>
      <c r="G99"/>
      <c r="H99"/>
      <c r="I99"/>
      <c r="J99"/>
      <c r="K99"/>
      <c r="L99"/>
      <c r="M99"/>
      <c r="N99"/>
      <c r="O99"/>
      <c r="P99"/>
      <c r="Q99"/>
      <c r="R99"/>
      <c r="S99"/>
      <c r="T99"/>
      <c r="U99"/>
    </row>
    <row r="100" spans="1:21" x14ac:dyDescent="0.25">
      <c r="A100"/>
      <c r="B100"/>
      <c r="C100"/>
      <c r="D100"/>
      <c r="E100"/>
      <c r="F100"/>
      <c r="G100"/>
      <c r="H100"/>
      <c r="I100"/>
      <c r="J100"/>
      <c r="K100"/>
      <c r="L100"/>
      <c r="M100"/>
      <c r="N100"/>
      <c r="O100"/>
      <c r="P100"/>
      <c r="Q100"/>
      <c r="R100"/>
      <c r="S100"/>
      <c r="T100"/>
      <c r="U100"/>
    </row>
    <row r="101" spans="1:21" x14ac:dyDescent="0.25">
      <c r="A101"/>
      <c r="B101"/>
      <c r="C101"/>
      <c r="D101"/>
      <c r="E101"/>
      <c r="F101"/>
      <c r="G101"/>
      <c r="H101"/>
      <c r="I101"/>
      <c r="J101"/>
      <c r="K101"/>
      <c r="L101"/>
      <c r="M101"/>
      <c r="N101"/>
      <c r="O101"/>
      <c r="P101"/>
      <c r="Q101"/>
      <c r="R101"/>
      <c r="S101"/>
      <c r="T101"/>
      <c r="U101"/>
    </row>
    <row r="102" spans="1:21" x14ac:dyDescent="0.25">
      <c r="A102"/>
      <c r="B102"/>
      <c r="C102"/>
      <c r="D102"/>
      <c r="E102"/>
      <c r="F102"/>
      <c r="G102"/>
      <c r="H102"/>
      <c r="I102"/>
      <c r="J102"/>
      <c r="K102"/>
      <c r="L102"/>
      <c r="M102"/>
      <c r="N102"/>
      <c r="O102"/>
      <c r="P102"/>
      <c r="Q102"/>
      <c r="R102"/>
      <c r="S102"/>
      <c r="T102"/>
      <c r="U102"/>
    </row>
    <row r="103" spans="1:21" x14ac:dyDescent="0.25">
      <c r="A103"/>
      <c r="B103"/>
      <c r="C103"/>
      <c r="D103"/>
      <c r="E103"/>
      <c r="F103"/>
      <c r="G103"/>
      <c r="H103"/>
      <c r="I103"/>
      <c r="J103"/>
      <c r="K103"/>
      <c r="L103"/>
      <c r="M103"/>
      <c r="N103"/>
      <c r="O103"/>
      <c r="P103"/>
      <c r="Q103"/>
      <c r="R103"/>
      <c r="S103"/>
      <c r="T103"/>
      <c r="U103"/>
    </row>
    <row r="104" spans="1:21" x14ac:dyDescent="0.25">
      <c r="A104"/>
      <c r="B104"/>
      <c r="C104"/>
      <c r="D104"/>
      <c r="E104"/>
      <c r="F104"/>
      <c r="G104"/>
      <c r="H104"/>
      <c r="I104"/>
      <c r="J104"/>
      <c r="K104"/>
      <c r="L104"/>
      <c r="M104"/>
      <c r="N104"/>
      <c r="O104"/>
      <c r="P104"/>
      <c r="Q104"/>
      <c r="R104"/>
      <c r="S104"/>
      <c r="T104"/>
      <c r="U104"/>
    </row>
    <row r="105" spans="1:21" x14ac:dyDescent="0.25">
      <c r="A105"/>
      <c r="B105"/>
      <c r="C105"/>
      <c r="D105"/>
      <c r="E105"/>
      <c r="F105"/>
      <c r="G105"/>
      <c r="H105"/>
      <c r="I105"/>
      <c r="J105"/>
      <c r="K105"/>
      <c r="L105"/>
      <c r="M105"/>
      <c r="N105"/>
      <c r="O105"/>
      <c r="P105"/>
      <c r="Q105"/>
      <c r="R105"/>
      <c r="S105"/>
      <c r="T105"/>
      <c r="U105"/>
    </row>
    <row r="106" spans="1:21" x14ac:dyDescent="0.25">
      <c r="A106"/>
      <c r="B106"/>
      <c r="C106"/>
      <c r="D106"/>
      <c r="E106"/>
      <c r="F106"/>
      <c r="G106"/>
      <c r="H106"/>
      <c r="I106"/>
      <c r="J106"/>
      <c r="K106"/>
      <c r="L106"/>
      <c r="M106"/>
      <c r="N106"/>
      <c r="O106"/>
      <c r="P106"/>
      <c r="Q106"/>
      <c r="R106"/>
      <c r="S106"/>
      <c r="T106"/>
      <c r="U106"/>
    </row>
    <row r="107" spans="1:21" x14ac:dyDescent="0.25">
      <c r="A107"/>
      <c r="B107"/>
      <c r="C107"/>
      <c r="D107"/>
      <c r="E107"/>
      <c r="F107"/>
      <c r="G107"/>
      <c r="H107"/>
      <c r="I107"/>
      <c r="J107"/>
      <c r="K107"/>
      <c r="L107"/>
      <c r="M107"/>
      <c r="N107"/>
      <c r="O107"/>
      <c r="P107"/>
      <c r="Q107"/>
      <c r="R107"/>
      <c r="S107"/>
      <c r="T107"/>
      <c r="U107"/>
    </row>
    <row r="108" spans="1:21" x14ac:dyDescent="0.25">
      <c r="A108"/>
      <c r="B108"/>
      <c r="C108"/>
      <c r="D108"/>
      <c r="E108"/>
      <c r="F108"/>
      <c r="G108"/>
      <c r="H108"/>
      <c r="I108"/>
      <c r="J108"/>
      <c r="K108"/>
      <c r="L108"/>
      <c r="M108"/>
      <c r="N108"/>
      <c r="O108"/>
      <c r="P108"/>
      <c r="Q108"/>
      <c r="R108"/>
      <c r="S108"/>
      <c r="T108"/>
      <c r="U108"/>
    </row>
    <row r="109" spans="1:21" x14ac:dyDescent="0.25">
      <c r="A109"/>
      <c r="B109"/>
      <c r="C109"/>
      <c r="D109"/>
      <c r="E109"/>
      <c r="F109"/>
      <c r="G109"/>
      <c r="H109"/>
      <c r="I109"/>
      <c r="J109"/>
      <c r="K109"/>
      <c r="L109"/>
      <c r="M109"/>
      <c r="N109"/>
      <c r="O109"/>
      <c r="P109"/>
      <c r="Q109"/>
      <c r="R109"/>
      <c r="S109"/>
      <c r="T109"/>
      <c r="U109"/>
    </row>
    <row r="110" spans="1:21" x14ac:dyDescent="0.25">
      <c r="A110"/>
      <c r="B110"/>
      <c r="C110"/>
      <c r="D110"/>
      <c r="E110"/>
      <c r="F110"/>
      <c r="G110"/>
      <c r="H110"/>
      <c r="I110"/>
      <c r="J110"/>
      <c r="K110"/>
      <c r="L110"/>
      <c r="M110"/>
      <c r="N110"/>
      <c r="O110"/>
      <c r="P110"/>
      <c r="Q110"/>
      <c r="R110"/>
      <c r="S110"/>
      <c r="T110"/>
      <c r="U110"/>
    </row>
    <row r="111" spans="1:21" x14ac:dyDescent="0.25">
      <c r="A111"/>
      <c r="B111"/>
      <c r="C111"/>
      <c r="D111"/>
      <c r="E111"/>
      <c r="F111"/>
      <c r="G111"/>
      <c r="H111"/>
      <c r="I111"/>
      <c r="J111"/>
      <c r="K111"/>
      <c r="L111"/>
      <c r="M111"/>
      <c r="N111"/>
      <c r="O111"/>
      <c r="P111"/>
      <c r="Q111"/>
      <c r="R111"/>
      <c r="S111"/>
      <c r="T111"/>
      <c r="U111"/>
    </row>
    <row r="112" spans="1:21" x14ac:dyDescent="0.25">
      <c r="A112"/>
      <c r="B112"/>
      <c r="C112"/>
      <c r="D112"/>
      <c r="E112"/>
      <c r="F112"/>
      <c r="G112"/>
      <c r="H112"/>
      <c r="I112"/>
      <c r="J112"/>
      <c r="K112"/>
      <c r="L112"/>
      <c r="M112"/>
      <c r="N112"/>
      <c r="O112"/>
      <c r="P112"/>
      <c r="Q112"/>
      <c r="R112"/>
      <c r="S112"/>
      <c r="T112"/>
      <c r="U112"/>
    </row>
    <row r="113" spans="1:21" x14ac:dyDescent="0.25">
      <c r="A113"/>
      <c r="B113"/>
      <c r="C113"/>
      <c r="D113"/>
      <c r="E113"/>
      <c r="F113"/>
      <c r="G113"/>
      <c r="H113"/>
      <c r="I113"/>
      <c r="J113"/>
      <c r="K113"/>
      <c r="L113"/>
      <c r="M113"/>
      <c r="N113"/>
      <c r="O113"/>
      <c r="P113"/>
      <c r="Q113"/>
      <c r="R113"/>
      <c r="S113"/>
      <c r="T113"/>
      <c r="U113"/>
    </row>
    <row r="114" spans="1:21" x14ac:dyDescent="0.25">
      <c r="A114"/>
      <c r="B114"/>
      <c r="C114"/>
      <c r="D114"/>
      <c r="E114"/>
      <c r="F114"/>
      <c r="G114"/>
      <c r="H114"/>
      <c r="I114"/>
      <c r="J114"/>
      <c r="K114"/>
      <c r="L114"/>
      <c r="M114"/>
      <c r="N114"/>
      <c r="O114"/>
      <c r="P114"/>
      <c r="Q114"/>
      <c r="R114"/>
      <c r="S114"/>
      <c r="T114"/>
      <c r="U114"/>
    </row>
    <row r="115" spans="1:21" x14ac:dyDescent="0.25">
      <c r="A115"/>
      <c r="B115"/>
      <c r="C115"/>
      <c r="D115"/>
      <c r="E115"/>
      <c r="F115"/>
      <c r="G115"/>
      <c r="H115"/>
      <c r="I115"/>
      <c r="J115"/>
      <c r="K115"/>
      <c r="L115"/>
      <c r="M115"/>
      <c r="N115"/>
      <c r="O115"/>
      <c r="P115"/>
      <c r="Q115"/>
      <c r="R115"/>
      <c r="S115"/>
      <c r="T115"/>
      <c r="U115"/>
    </row>
    <row r="116" spans="1:21" x14ac:dyDescent="0.25">
      <c r="A116"/>
      <c r="B116"/>
      <c r="C116"/>
      <c r="D116"/>
      <c r="E116"/>
      <c r="F116"/>
      <c r="G116"/>
      <c r="H116"/>
      <c r="I116"/>
      <c r="J116"/>
      <c r="K116"/>
      <c r="L116"/>
      <c r="M116"/>
      <c r="N116"/>
      <c r="O116"/>
      <c r="P116"/>
      <c r="Q116"/>
      <c r="R116"/>
      <c r="S116"/>
      <c r="T116"/>
      <c r="U116"/>
    </row>
    <row r="117" spans="1:21" x14ac:dyDescent="0.25">
      <c r="A117"/>
      <c r="B117"/>
      <c r="C117"/>
      <c r="D117"/>
      <c r="E117"/>
      <c r="F117"/>
      <c r="G117"/>
      <c r="H117"/>
      <c r="I117"/>
      <c r="J117"/>
      <c r="K117"/>
      <c r="L117"/>
      <c r="M117"/>
      <c r="N117"/>
      <c r="O117"/>
      <c r="P117"/>
      <c r="Q117"/>
      <c r="R117"/>
      <c r="S117"/>
      <c r="T117"/>
      <c r="U117"/>
    </row>
    <row r="118" spans="1:21" x14ac:dyDescent="0.25">
      <c r="A118"/>
      <c r="B118"/>
      <c r="C118"/>
      <c r="D118"/>
      <c r="E118"/>
      <c r="F118"/>
      <c r="G118"/>
      <c r="H118"/>
      <c r="I118"/>
      <c r="J118"/>
      <c r="K118"/>
      <c r="L118"/>
      <c r="M118"/>
      <c r="N118"/>
      <c r="O118"/>
      <c r="P118"/>
      <c r="Q118"/>
      <c r="R118"/>
      <c r="S118"/>
      <c r="T118"/>
      <c r="U118"/>
    </row>
    <row r="119" spans="1:21" x14ac:dyDescent="0.25">
      <c r="A119"/>
      <c r="B119"/>
      <c r="C119"/>
      <c r="D119"/>
      <c r="E119"/>
      <c r="F119"/>
      <c r="G119"/>
      <c r="H119"/>
      <c r="I119"/>
      <c r="J119"/>
      <c r="K119"/>
      <c r="L119"/>
      <c r="M119"/>
      <c r="N119"/>
      <c r="O119"/>
      <c r="P119"/>
      <c r="Q119"/>
      <c r="R119"/>
      <c r="S119"/>
      <c r="T119"/>
      <c r="U119"/>
    </row>
    <row r="120" spans="1:21" x14ac:dyDescent="0.25">
      <c r="A120"/>
      <c r="B120"/>
      <c r="C120"/>
      <c r="D120"/>
      <c r="E120"/>
      <c r="F120"/>
      <c r="G120"/>
      <c r="H120"/>
      <c r="I120"/>
      <c r="J120"/>
      <c r="K120"/>
      <c r="L120"/>
      <c r="M120"/>
      <c r="N120"/>
      <c r="O120"/>
      <c r="P120"/>
      <c r="Q120"/>
      <c r="R120"/>
      <c r="S120"/>
      <c r="T120"/>
      <c r="U120"/>
    </row>
    <row r="121" spans="1:21" x14ac:dyDescent="0.25">
      <c r="A121"/>
      <c r="B121"/>
      <c r="C121"/>
      <c r="D121"/>
      <c r="E121"/>
      <c r="F121"/>
      <c r="G121"/>
      <c r="H121"/>
      <c r="I121"/>
      <c r="J121"/>
      <c r="K121"/>
      <c r="L121"/>
      <c r="M121"/>
      <c r="N121"/>
      <c r="O121"/>
      <c r="P121"/>
      <c r="Q121"/>
      <c r="R121"/>
      <c r="S121"/>
      <c r="T121"/>
      <c r="U121"/>
    </row>
    <row r="122" spans="1:21" x14ac:dyDescent="0.25">
      <c r="A122"/>
      <c r="B122"/>
      <c r="C122"/>
      <c r="D122"/>
      <c r="E122"/>
      <c r="F122"/>
      <c r="G122"/>
      <c r="H122"/>
      <c r="I122"/>
      <c r="J122"/>
      <c r="K122"/>
      <c r="L122"/>
      <c r="M122"/>
      <c r="N122"/>
      <c r="O122"/>
      <c r="P122"/>
      <c r="Q122"/>
      <c r="R122"/>
      <c r="S122"/>
      <c r="T122"/>
      <c r="U122"/>
    </row>
    <row r="123" spans="1:21" x14ac:dyDescent="0.25">
      <c r="A123"/>
      <c r="B123"/>
      <c r="C123"/>
      <c r="D123"/>
      <c r="E123"/>
      <c r="F123"/>
      <c r="G123"/>
      <c r="H123"/>
      <c r="I123"/>
      <c r="J123"/>
      <c r="K123"/>
      <c r="L123"/>
      <c r="M123"/>
      <c r="N123"/>
      <c r="O123"/>
      <c r="P123"/>
      <c r="Q123"/>
      <c r="R123"/>
      <c r="S123"/>
      <c r="T123"/>
      <c r="U123"/>
    </row>
    <row r="124" spans="1:21" x14ac:dyDescent="0.25">
      <c r="A124"/>
      <c r="B124"/>
      <c r="C124"/>
      <c r="D124"/>
      <c r="E124"/>
      <c r="F124"/>
      <c r="G124"/>
      <c r="H124"/>
      <c r="I124"/>
      <c r="J124"/>
      <c r="K124"/>
      <c r="L124"/>
      <c r="M124"/>
      <c r="N124"/>
      <c r="O124"/>
      <c r="P124"/>
      <c r="Q124"/>
      <c r="R124"/>
      <c r="S124"/>
      <c r="T124"/>
      <c r="U124"/>
    </row>
    <row r="125" spans="1:21" x14ac:dyDescent="0.25">
      <c r="A125"/>
      <c r="B125"/>
      <c r="C125"/>
      <c r="D125"/>
      <c r="E125"/>
      <c r="F125"/>
      <c r="G125"/>
      <c r="H125"/>
      <c r="I125"/>
      <c r="J125"/>
      <c r="K125"/>
      <c r="L125"/>
      <c r="M125"/>
      <c r="N125"/>
      <c r="O125"/>
      <c r="P125"/>
      <c r="Q125"/>
      <c r="R125"/>
      <c r="S125"/>
      <c r="T125"/>
      <c r="U125"/>
    </row>
    <row r="126" spans="1:21" x14ac:dyDescent="0.25">
      <c r="A126"/>
      <c r="B126"/>
      <c r="C126"/>
      <c r="D126"/>
      <c r="E126"/>
      <c r="F126"/>
      <c r="G126"/>
      <c r="H126"/>
      <c r="I126"/>
      <c r="J126"/>
      <c r="K126"/>
      <c r="L126"/>
      <c r="M126"/>
      <c r="N126"/>
      <c r="O126"/>
      <c r="P126"/>
      <c r="Q126"/>
      <c r="R126"/>
      <c r="S126"/>
      <c r="T126"/>
      <c r="U126"/>
    </row>
    <row r="127" spans="1:21" x14ac:dyDescent="0.25">
      <c r="A127"/>
      <c r="B127"/>
      <c r="C127"/>
      <c r="D127"/>
      <c r="E127"/>
      <c r="F127"/>
      <c r="G127"/>
      <c r="H127"/>
      <c r="I127"/>
      <c r="J127"/>
      <c r="K127"/>
      <c r="L127"/>
      <c r="M127"/>
      <c r="N127"/>
      <c r="O127"/>
      <c r="P127"/>
      <c r="Q127"/>
      <c r="R127"/>
      <c r="S127"/>
      <c r="T127"/>
      <c r="U127"/>
    </row>
    <row r="128" spans="1:21" x14ac:dyDescent="0.25">
      <c r="A128"/>
      <c r="B128"/>
      <c r="C128"/>
      <c r="D128"/>
      <c r="E128"/>
      <c r="F128"/>
      <c r="G128"/>
      <c r="H128"/>
      <c r="I128"/>
      <c r="J128"/>
      <c r="K128"/>
      <c r="L128"/>
      <c r="M128"/>
      <c r="N128"/>
      <c r="O128"/>
      <c r="P128"/>
      <c r="Q128"/>
      <c r="R128"/>
      <c r="S128"/>
      <c r="T128"/>
      <c r="U128"/>
    </row>
    <row r="129" spans="1:21" x14ac:dyDescent="0.25">
      <c r="A129"/>
      <c r="B129"/>
      <c r="C129"/>
      <c r="D129"/>
      <c r="E129"/>
      <c r="F129"/>
      <c r="G129"/>
      <c r="H129"/>
      <c r="I129"/>
      <c r="J129"/>
      <c r="K129"/>
      <c r="L129"/>
      <c r="M129"/>
      <c r="N129"/>
      <c r="O129"/>
      <c r="P129"/>
      <c r="Q129"/>
      <c r="R129"/>
      <c r="S129"/>
      <c r="T129"/>
      <c r="U129"/>
    </row>
    <row r="130" spans="1:21" x14ac:dyDescent="0.25">
      <c r="A130"/>
      <c r="B130"/>
      <c r="C130"/>
      <c r="D130"/>
      <c r="E130"/>
      <c r="F130"/>
      <c r="G130"/>
      <c r="H130"/>
      <c r="I130"/>
      <c r="J130"/>
      <c r="K130"/>
      <c r="L130"/>
      <c r="M130"/>
      <c r="N130"/>
      <c r="O130"/>
      <c r="P130"/>
      <c r="Q130"/>
      <c r="R130"/>
      <c r="S130"/>
      <c r="T130"/>
      <c r="U130"/>
    </row>
    <row r="131" spans="1:21" x14ac:dyDescent="0.25">
      <c r="A131"/>
      <c r="B131"/>
      <c r="C131"/>
      <c r="D131"/>
      <c r="E131"/>
      <c r="F131"/>
      <c r="G131"/>
      <c r="H131"/>
      <c r="I131"/>
      <c r="J131"/>
      <c r="K131"/>
      <c r="L131"/>
      <c r="M131"/>
      <c r="N131"/>
      <c r="O131"/>
      <c r="P131"/>
      <c r="Q131"/>
      <c r="R131"/>
      <c r="S131"/>
      <c r="T131"/>
      <c r="U131"/>
    </row>
    <row r="132" spans="1:21" x14ac:dyDescent="0.25">
      <c r="A132"/>
      <c r="B132"/>
      <c r="C132"/>
      <c r="D132"/>
      <c r="E132"/>
      <c r="F132"/>
      <c r="G132"/>
      <c r="H132"/>
      <c r="I132"/>
      <c r="J132"/>
      <c r="K132"/>
      <c r="L132"/>
      <c r="M132"/>
      <c r="N132"/>
      <c r="O132"/>
      <c r="P132"/>
      <c r="Q132"/>
      <c r="R132"/>
      <c r="S132"/>
      <c r="T132"/>
      <c r="U132"/>
    </row>
    <row r="133" spans="1:21" x14ac:dyDescent="0.25">
      <c r="A133"/>
      <c r="B133"/>
      <c r="C133"/>
      <c r="D133"/>
      <c r="E133"/>
      <c r="F133"/>
      <c r="G133"/>
      <c r="H133"/>
      <c r="I133"/>
      <c r="J133"/>
      <c r="K133"/>
      <c r="L133"/>
      <c r="M133"/>
      <c r="N133"/>
      <c r="O133"/>
      <c r="P133"/>
      <c r="Q133"/>
      <c r="R133"/>
      <c r="S133"/>
      <c r="T133"/>
      <c r="U133"/>
    </row>
    <row r="134" spans="1:21" x14ac:dyDescent="0.25">
      <c r="A134"/>
      <c r="B134"/>
      <c r="C134"/>
      <c r="D134"/>
      <c r="E134"/>
      <c r="F134"/>
      <c r="G134"/>
      <c r="H134"/>
      <c r="I134"/>
      <c r="J134"/>
      <c r="K134"/>
      <c r="L134"/>
      <c r="M134"/>
      <c r="N134"/>
      <c r="O134"/>
      <c r="P134"/>
      <c r="Q134"/>
      <c r="R134"/>
      <c r="S134"/>
      <c r="T134"/>
      <c r="U134"/>
    </row>
    <row r="135" spans="1:21" x14ac:dyDescent="0.25">
      <c r="A135"/>
      <c r="B135"/>
      <c r="C135"/>
      <c r="D135"/>
      <c r="E135"/>
      <c r="F135"/>
      <c r="G135"/>
      <c r="H135"/>
      <c r="I135"/>
      <c r="J135"/>
      <c r="K135"/>
      <c r="L135"/>
      <c r="M135"/>
      <c r="N135"/>
      <c r="O135"/>
      <c r="P135"/>
      <c r="Q135"/>
      <c r="R135"/>
      <c r="S135"/>
      <c r="T135"/>
      <c r="U135"/>
    </row>
    <row r="136" spans="1:21" x14ac:dyDescent="0.25">
      <c r="A136"/>
      <c r="B136"/>
      <c r="C136"/>
      <c r="D136"/>
      <c r="E136"/>
      <c r="F136"/>
      <c r="G136"/>
      <c r="H136"/>
      <c r="I136"/>
      <c r="J136"/>
      <c r="K136"/>
      <c r="L136"/>
      <c r="M136"/>
      <c r="N136"/>
      <c r="O136"/>
      <c r="P136"/>
      <c r="Q136"/>
      <c r="R136"/>
      <c r="S136"/>
      <c r="T136"/>
      <c r="U136"/>
    </row>
    <row r="137" spans="1:21" x14ac:dyDescent="0.25">
      <c r="A137"/>
      <c r="B137"/>
      <c r="C137"/>
      <c r="D137"/>
      <c r="E137"/>
      <c r="F137"/>
      <c r="G137"/>
      <c r="H137"/>
      <c r="I137"/>
      <c r="J137"/>
      <c r="K137"/>
      <c r="L137"/>
      <c r="M137"/>
      <c r="N137"/>
      <c r="O137"/>
      <c r="P137"/>
      <c r="Q137"/>
      <c r="R137"/>
      <c r="S137"/>
      <c r="T137"/>
      <c r="U137"/>
    </row>
    <row r="138" spans="1:21" x14ac:dyDescent="0.25">
      <c r="A138"/>
      <c r="B138"/>
      <c r="C138"/>
      <c r="D138"/>
      <c r="E138"/>
      <c r="F138"/>
      <c r="G138"/>
      <c r="H138"/>
      <c r="I138"/>
      <c r="J138"/>
      <c r="K138"/>
      <c r="L138"/>
      <c r="M138"/>
      <c r="N138"/>
      <c r="O138"/>
      <c r="P138"/>
      <c r="Q138"/>
      <c r="R138"/>
      <c r="S138"/>
      <c r="T138"/>
      <c r="U138"/>
    </row>
    <row r="139" spans="1:21" x14ac:dyDescent="0.25">
      <c r="A139"/>
      <c r="B139"/>
      <c r="C139"/>
      <c r="D139"/>
      <c r="E139"/>
      <c r="F139"/>
      <c r="G139"/>
      <c r="H139"/>
      <c r="I139"/>
      <c r="J139"/>
      <c r="K139"/>
      <c r="L139"/>
      <c r="M139"/>
      <c r="N139"/>
      <c r="O139"/>
      <c r="P139"/>
      <c r="Q139"/>
      <c r="R139"/>
      <c r="S139"/>
      <c r="T139"/>
      <c r="U139"/>
    </row>
    <row r="140" spans="1:21" x14ac:dyDescent="0.25">
      <c r="A140"/>
      <c r="B140"/>
      <c r="C140"/>
      <c r="D140"/>
      <c r="E140"/>
      <c r="F140"/>
      <c r="G140"/>
      <c r="H140"/>
      <c r="I140"/>
      <c r="J140"/>
      <c r="K140"/>
      <c r="L140"/>
      <c r="M140"/>
      <c r="N140"/>
      <c r="O140"/>
      <c r="P140"/>
      <c r="Q140"/>
      <c r="R140"/>
      <c r="S140"/>
      <c r="T140"/>
      <c r="U140"/>
    </row>
    <row r="141" spans="1:21" x14ac:dyDescent="0.25">
      <c r="A141"/>
      <c r="B141"/>
      <c r="C141"/>
      <c r="D141"/>
      <c r="E141"/>
      <c r="F141"/>
      <c r="G141"/>
      <c r="H141"/>
      <c r="I141"/>
      <c r="J141"/>
      <c r="K141"/>
      <c r="L141"/>
      <c r="M141"/>
      <c r="N141"/>
      <c r="O141"/>
      <c r="P141"/>
      <c r="Q141"/>
      <c r="R141"/>
      <c r="S141"/>
      <c r="T141"/>
      <c r="U141"/>
    </row>
    <row r="142" spans="1:21" x14ac:dyDescent="0.25">
      <c r="A142"/>
      <c r="B142"/>
      <c r="C142"/>
      <c r="D142"/>
      <c r="E142"/>
      <c r="F142"/>
      <c r="G142"/>
      <c r="H142"/>
      <c r="I142"/>
      <c r="J142"/>
      <c r="K142"/>
      <c r="L142"/>
      <c r="M142"/>
      <c r="N142"/>
      <c r="O142"/>
      <c r="P142"/>
      <c r="Q142"/>
      <c r="R142"/>
      <c r="S142"/>
      <c r="T142"/>
      <c r="U142"/>
    </row>
    <row r="143" spans="1:21" x14ac:dyDescent="0.25">
      <c r="A143"/>
      <c r="B143"/>
      <c r="C143"/>
      <c r="D143"/>
      <c r="E143"/>
      <c r="F143"/>
      <c r="G143"/>
      <c r="H143"/>
      <c r="I143"/>
      <c r="J143"/>
      <c r="K143"/>
      <c r="L143"/>
      <c r="M143"/>
      <c r="N143"/>
      <c r="O143"/>
      <c r="P143"/>
      <c r="Q143"/>
      <c r="R143"/>
      <c r="S143"/>
      <c r="T143"/>
      <c r="U143"/>
    </row>
    <row r="144" spans="1:21" x14ac:dyDescent="0.25">
      <c r="A144"/>
      <c r="B144"/>
      <c r="C144"/>
      <c r="D144"/>
      <c r="E144"/>
      <c r="F144"/>
      <c r="G144"/>
      <c r="H144"/>
      <c r="I144"/>
      <c r="J144"/>
      <c r="K144"/>
      <c r="L144"/>
      <c r="M144"/>
      <c r="N144"/>
      <c r="O144"/>
      <c r="P144"/>
      <c r="Q144"/>
      <c r="R144"/>
      <c r="S144"/>
      <c r="T144"/>
      <c r="U144"/>
    </row>
    <row r="145" spans="1:21" x14ac:dyDescent="0.25">
      <c r="A145"/>
      <c r="B145"/>
      <c r="C145"/>
      <c r="D145"/>
      <c r="E145"/>
      <c r="F145"/>
      <c r="G145"/>
      <c r="H145"/>
      <c r="I145"/>
      <c r="J145"/>
      <c r="K145"/>
      <c r="L145"/>
      <c r="M145"/>
      <c r="N145"/>
      <c r="O145"/>
      <c r="P145"/>
      <c r="Q145"/>
      <c r="R145"/>
      <c r="S145"/>
      <c r="T145"/>
      <c r="U145"/>
    </row>
    <row r="146" spans="1:21" x14ac:dyDescent="0.25">
      <c r="A146"/>
      <c r="B146"/>
      <c r="C146"/>
      <c r="D146"/>
      <c r="E146"/>
      <c r="F146"/>
      <c r="G146"/>
      <c r="H146"/>
      <c r="I146"/>
      <c r="J146"/>
      <c r="K146"/>
      <c r="L146"/>
      <c r="M146"/>
      <c r="N146"/>
      <c r="O146"/>
      <c r="P146"/>
      <c r="Q146"/>
      <c r="R146"/>
      <c r="S146"/>
      <c r="T146"/>
      <c r="U146"/>
    </row>
    <row r="147" spans="1:21" x14ac:dyDescent="0.25">
      <c r="A147"/>
      <c r="B147"/>
      <c r="C147"/>
      <c r="D147"/>
      <c r="E147"/>
      <c r="F147"/>
      <c r="G147"/>
      <c r="H147"/>
      <c r="I147"/>
      <c r="J147"/>
      <c r="K147"/>
      <c r="L147"/>
      <c r="M147"/>
      <c r="N147"/>
      <c r="O147"/>
      <c r="P147"/>
      <c r="Q147"/>
      <c r="R147"/>
      <c r="S147"/>
      <c r="T147"/>
      <c r="U147"/>
    </row>
    <row r="148" spans="1:21" x14ac:dyDescent="0.25">
      <c r="A148"/>
      <c r="B148"/>
      <c r="C148"/>
      <c r="D148"/>
      <c r="E148"/>
      <c r="F148"/>
      <c r="G148"/>
      <c r="H148"/>
      <c r="I148"/>
      <c r="J148"/>
      <c r="K148"/>
      <c r="L148"/>
      <c r="M148"/>
      <c r="N148"/>
      <c r="O148"/>
      <c r="P148"/>
      <c r="Q148"/>
      <c r="R148"/>
      <c r="S148"/>
      <c r="T148"/>
      <c r="U148"/>
    </row>
    <row r="149" spans="1:21" x14ac:dyDescent="0.25">
      <c r="A149"/>
      <c r="B149"/>
      <c r="C149"/>
      <c r="D149"/>
      <c r="E149"/>
      <c r="F149"/>
      <c r="G149"/>
      <c r="H149"/>
      <c r="I149"/>
      <c r="J149"/>
      <c r="K149"/>
      <c r="L149"/>
      <c r="M149"/>
      <c r="N149"/>
      <c r="O149"/>
      <c r="P149"/>
      <c r="Q149"/>
      <c r="R149"/>
      <c r="S149"/>
      <c r="T149"/>
      <c r="U149"/>
    </row>
    <row r="150" spans="1:21" x14ac:dyDescent="0.25">
      <c r="A150"/>
      <c r="B150"/>
      <c r="C150"/>
      <c r="D150"/>
      <c r="E150"/>
      <c r="F150"/>
      <c r="G150"/>
      <c r="H150"/>
      <c r="I150"/>
      <c r="J150"/>
      <c r="K150"/>
      <c r="L150"/>
      <c r="M150"/>
      <c r="N150"/>
      <c r="O150"/>
      <c r="P150"/>
      <c r="Q150"/>
      <c r="R150"/>
      <c r="S150"/>
      <c r="T150"/>
      <c r="U150"/>
    </row>
    <row r="151" spans="1:21" x14ac:dyDescent="0.25">
      <c r="A151"/>
      <c r="B151"/>
      <c r="C151"/>
      <c r="D151"/>
      <c r="E151"/>
      <c r="F151"/>
      <c r="G151"/>
      <c r="H151"/>
      <c r="I151"/>
      <c r="J151"/>
      <c r="K151"/>
      <c r="L151"/>
      <c r="M151"/>
      <c r="N151"/>
      <c r="O151"/>
      <c r="P151"/>
      <c r="Q151"/>
      <c r="R151"/>
      <c r="S151"/>
      <c r="T151"/>
      <c r="U151"/>
    </row>
    <row r="152" spans="1:21" x14ac:dyDescent="0.25">
      <c r="A152"/>
      <c r="B152"/>
      <c r="C152"/>
      <c r="D152"/>
      <c r="E152"/>
      <c r="F152"/>
      <c r="G152"/>
      <c r="H152"/>
      <c r="I152"/>
      <c r="J152"/>
      <c r="K152"/>
      <c r="L152"/>
      <c r="M152"/>
      <c r="N152"/>
      <c r="O152"/>
      <c r="P152"/>
      <c r="Q152"/>
      <c r="R152"/>
      <c r="S152"/>
      <c r="T152"/>
      <c r="U152"/>
    </row>
    <row r="153" spans="1:21" x14ac:dyDescent="0.25">
      <c r="A153"/>
      <c r="B153"/>
      <c r="C153"/>
      <c r="D153"/>
      <c r="E153"/>
      <c r="F153"/>
      <c r="G153"/>
      <c r="H153"/>
      <c r="I153"/>
      <c r="J153"/>
      <c r="K153"/>
      <c r="L153"/>
      <c r="M153"/>
      <c r="N153"/>
      <c r="O153"/>
      <c r="P153"/>
      <c r="Q153"/>
      <c r="R153"/>
      <c r="S153"/>
      <c r="T153"/>
      <c r="U153"/>
    </row>
    <row r="154" spans="1:21" x14ac:dyDescent="0.25">
      <c r="A154"/>
      <c r="B154"/>
      <c r="C154"/>
      <c r="D154"/>
      <c r="E154"/>
      <c r="F154"/>
      <c r="G154"/>
      <c r="H154"/>
      <c r="I154"/>
      <c r="J154"/>
      <c r="K154"/>
      <c r="L154"/>
      <c r="M154"/>
      <c r="N154"/>
      <c r="O154"/>
      <c r="P154"/>
      <c r="Q154"/>
      <c r="R154"/>
      <c r="S154"/>
      <c r="T154"/>
      <c r="U154"/>
    </row>
    <row r="155" spans="1:21" x14ac:dyDescent="0.25">
      <c r="A155"/>
      <c r="B155"/>
      <c r="C155"/>
      <c r="D155"/>
      <c r="E155"/>
      <c r="F155"/>
      <c r="G155"/>
      <c r="H155"/>
      <c r="I155"/>
      <c r="J155"/>
      <c r="K155"/>
      <c r="L155"/>
      <c r="M155"/>
      <c r="N155"/>
      <c r="O155"/>
      <c r="P155"/>
      <c r="Q155"/>
      <c r="R155"/>
      <c r="S155"/>
      <c r="T155"/>
      <c r="U155"/>
    </row>
    <row r="156" spans="1:21" x14ac:dyDescent="0.25">
      <c r="A156"/>
      <c r="B156"/>
      <c r="C156"/>
      <c r="D156"/>
      <c r="E156"/>
      <c r="F156"/>
      <c r="G156"/>
      <c r="H156"/>
      <c r="I156"/>
      <c r="J156"/>
      <c r="K156"/>
      <c r="L156"/>
      <c r="M156"/>
      <c r="N156"/>
      <c r="O156"/>
      <c r="P156"/>
      <c r="Q156"/>
      <c r="R156"/>
      <c r="S156"/>
      <c r="T156"/>
      <c r="U156"/>
    </row>
    <row r="157" spans="1:21" x14ac:dyDescent="0.25">
      <c r="A157"/>
      <c r="B157"/>
      <c r="C157"/>
      <c r="D157"/>
      <c r="E157"/>
      <c r="F157"/>
      <c r="G157"/>
      <c r="H157"/>
      <c r="I157"/>
      <c r="J157"/>
      <c r="K157"/>
      <c r="L157"/>
      <c r="M157"/>
      <c r="N157"/>
      <c r="O157"/>
      <c r="P157"/>
      <c r="Q157"/>
      <c r="R157"/>
      <c r="S157"/>
      <c r="T157"/>
      <c r="U157"/>
    </row>
    <row r="158" spans="1:21" x14ac:dyDescent="0.25">
      <c r="A158"/>
      <c r="B158"/>
      <c r="C158"/>
      <c r="D158"/>
      <c r="E158"/>
      <c r="F158"/>
      <c r="G158"/>
      <c r="H158"/>
      <c r="I158"/>
      <c r="J158"/>
      <c r="K158"/>
      <c r="L158"/>
      <c r="M158"/>
      <c r="N158"/>
      <c r="O158"/>
      <c r="P158"/>
      <c r="Q158"/>
      <c r="R158"/>
      <c r="S158"/>
      <c r="T158"/>
      <c r="U158"/>
    </row>
    <row r="159" spans="1:21" x14ac:dyDescent="0.25">
      <c r="A159"/>
      <c r="B159"/>
      <c r="C159"/>
      <c r="D159"/>
      <c r="E159"/>
      <c r="F159"/>
      <c r="G159"/>
      <c r="H159"/>
      <c r="I159"/>
      <c r="J159"/>
      <c r="K159"/>
      <c r="L159"/>
      <c r="M159"/>
      <c r="N159"/>
      <c r="O159"/>
      <c r="P159"/>
      <c r="Q159"/>
      <c r="R159"/>
      <c r="S159"/>
      <c r="T159"/>
      <c r="U159"/>
    </row>
    <row r="160" spans="1:21" x14ac:dyDescent="0.25">
      <c r="A160"/>
      <c r="B160"/>
      <c r="C160"/>
      <c r="D160"/>
      <c r="E160"/>
      <c r="F160"/>
      <c r="G160"/>
      <c r="H160"/>
      <c r="I160"/>
      <c r="J160"/>
      <c r="K160"/>
      <c r="L160"/>
      <c r="M160"/>
      <c r="N160"/>
      <c r="O160"/>
      <c r="P160"/>
      <c r="Q160"/>
      <c r="R160"/>
      <c r="S160"/>
      <c r="T160"/>
      <c r="U160"/>
    </row>
    <row r="161" spans="1:21" x14ac:dyDescent="0.25">
      <c r="A161"/>
      <c r="B161"/>
      <c r="C161"/>
      <c r="D161"/>
      <c r="E161"/>
      <c r="F161"/>
      <c r="G161"/>
      <c r="H161"/>
      <c r="I161"/>
      <c r="J161"/>
      <c r="K161"/>
      <c r="L161"/>
      <c r="M161"/>
      <c r="N161"/>
      <c r="O161"/>
      <c r="P161"/>
      <c r="Q161"/>
      <c r="R161"/>
      <c r="S161"/>
      <c r="T161"/>
      <c r="U161"/>
    </row>
    <row r="162" spans="1:21" x14ac:dyDescent="0.25">
      <c r="A162"/>
      <c r="B162"/>
      <c r="C162"/>
      <c r="D162"/>
      <c r="E162"/>
      <c r="F162"/>
      <c r="G162"/>
      <c r="H162"/>
      <c r="I162"/>
      <c r="J162"/>
      <c r="K162"/>
      <c r="L162"/>
      <c r="M162"/>
      <c r="N162"/>
      <c r="O162"/>
      <c r="P162"/>
      <c r="Q162"/>
      <c r="R162"/>
      <c r="S162"/>
      <c r="T162"/>
      <c r="U162"/>
    </row>
    <row r="163" spans="1:21" x14ac:dyDescent="0.25">
      <c r="A163"/>
      <c r="B163"/>
      <c r="C163"/>
      <c r="D163"/>
      <c r="E163"/>
      <c r="F163"/>
      <c r="G163"/>
      <c r="H163"/>
      <c r="I163"/>
      <c r="J163"/>
      <c r="K163"/>
      <c r="L163"/>
      <c r="M163"/>
      <c r="N163"/>
      <c r="O163"/>
      <c r="P163"/>
      <c r="Q163"/>
      <c r="R163"/>
      <c r="S163"/>
      <c r="T163"/>
      <c r="U163"/>
    </row>
    <row r="164" spans="1:21" x14ac:dyDescent="0.25">
      <c r="A164"/>
      <c r="B164"/>
      <c r="C164"/>
      <c r="D164"/>
      <c r="E164"/>
      <c r="F164"/>
      <c r="G164"/>
      <c r="H164"/>
      <c r="I164"/>
      <c r="J164"/>
      <c r="K164"/>
      <c r="L164"/>
      <c r="M164"/>
      <c r="N164"/>
      <c r="O164"/>
      <c r="P164"/>
      <c r="Q164"/>
      <c r="R164"/>
      <c r="S164"/>
      <c r="T164"/>
      <c r="U164"/>
    </row>
    <row r="165" spans="1:21" x14ac:dyDescent="0.25">
      <c r="A165"/>
      <c r="B165"/>
      <c r="C165"/>
      <c r="D165"/>
      <c r="E165"/>
      <c r="F165"/>
      <c r="G165"/>
      <c r="H165"/>
      <c r="I165"/>
      <c r="J165"/>
      <c r="K165"/>
      <c r="L165"/>
      <c r="M165"/>
      <c r="N165"/>
      <c r="O165"/>
      <c r="P165"/>
      <c r="Q165"/>
      <c r="R165"/>
      <c r="S165"/>
      <c r="T165"/>
      <c r="U165"/>
    </row>
    <row r="166" spans="1:21" x14ac:dyDescent="0.25">
      <c r="A166"/>
      <c r="B166"/>
      <c r="C166"/>
      <c r="D166"/>
      <c r="E166"/>
      <c r="F166"/>
      <c r="G166"/>
      <c r="H166"/>
      <c r="I166"/>
      <c r="J166"/>
      <c r="K166"/>
      <c r="L166"/>
      <c r="M166"/>
      <c r="N166"/>
      <c r="O166"/>
      <c r="P166"/>
      <c r="Q166"/>
      <c r="R166"/>
      <c r="S166"/>
      <c r="T166"/>
      <c r="U166"/>
    </row>
    <row r="167" spans="1:21" x14ac:dyDescent="0.25">
      <c r="A167"/>
      <c r="B167"/>
      <c r="C167"/>
      <c r="D167"/>
      <c r="E167"/>
      <c r="F167"/>
      <c r="G167"/>
      <c r="H167"/>
      <c r="I167"/>
      <c r="J167"/>
      <c r="K167"/>
      <c r="L167"/>
      <c r="M167"/>
      <c r="N167"/>
      <c r="O167"/>
      <c r="P167"/>
      <c r="Q167"/>
      <c r="R167"/>
      <c r="S167"/>
      <c r="T167"/>
      <c r="U167"/>
    </row>
    <row r="168" spans="1:21" x14ac:dyDescent="0.25">
      <c r="A168"/>
      <c r="B168"/>
      <c r="C168"/>
      <c r="D168"/>
      <c r="E168"/>
      <c r="F168"/>
      <c r="G168"/>
      <c r="H168"/>
      <c r="I168"/>
      <c r="J168"/>
      <c r="K168"/>
      <c r="L168"/>
      <c r="M168"/>
      <c r="N168"/>
      <c r="O168"/>
      <c r="P168"/>
      <c r="Q168"/>
      <c r="R168"/>
      <c r="S168"/>
      <c r="T168"/>
      <c r="U168"/>
    </row>
    <row r="169" spans="1:21" x14ac:dyDescent="0.25">
      <c r="A169"/>
      <c r="B169"/>
      <c r="C169"/>
      <c r="D169"/>
      <c r="E169"/>
      <c r="F169"/>
      <c r="G169"/>
      <c r="H169"/>
      <c r="I169"/>
      <c r="J169"/>
      <c r="K169"/>
      <c r="L169"/>
      <c r="M169"/>
      <c r="N169"/>
      <c r="O169"/>
      <c r="P169"/>
      <c r="Q169"/>
      <c r="R169"/>
      <c r="S169"/>
      <c r="T169"/>
      <c r="U169"/>
    </row>
    <row r="170" spans="1:21" x14ac:dyDescent="0.25">
      <c r="A170"/>
      <c r="B170"/>
      <c r="C170"/>
      <c r="D170"/>
      <c r="E170"/>
      <c r="F170"/>
      <c r="G170"/>
      <c r="H170"/>
      <c r="I170"/>
      <c r="J170"/>
      <c r="K170"/>
      <c r="L170"/>
      <c r="M170"/>
      <c r="N170"/>
      <c r="O170"/>
      <c r="P170"/>
      <c r="Q170"/>
      <c r="R170"/>
      <c r="S170"/>
      <c r="T170"/>
      <c r="U170"/>
    </row>
    <row r="171" spans="1:21" x14ac:dyDescent="0.25">
      <c r="A171"/>
      <c r="B171"/>
      <c r="C171"/>
      <c r="D171"/>
      <c r="E171"/>
      <c r="F171"/>
      <c r="G171"/>
      <c r="H171"/>
      <c r="I171"/>
      <c r="J171"/>
      <c r="K171"/>
      <c r="L171"/>
      <c r="M171"/>
      <c r="N171"/>
      <c r="O171"/>
      <c r="P171"/>
      <c r="Q171"/>
      <c r="R171"/>
      <c r="S171"/>
      <c r="T171"/>
      <c r="U171"/>
    </row>
    <row r="172" spans="1:21" x14ac:dyDescent="0.25">
      <c r="A172"/>
      <c r="B172"/>
      <c r="C172"/>
      <c r="D172"/>
      <c r="E172"/>
      <c r="F172"/>
      <c r="G172"/>
      <c r="H172"/>
      <c r="I172"/>
      <c r="J172"/>
      <c r="K172"/>
      <c r="L172"/>
      <c r="M172"/>
      <c r="N172"/>
      <c r="O172"/>
      <c r="P172"/>
      <c r="Q172"/>
      <c r="R172"/>
      <c r="S172"/>
      <c r="T172"/>
      <c r="U172"/>
    </row>
    <row r="173" spans="1:21" x14ac:dyDescent="0.25">
      <c r="A173"/>
      <c r="B173"/>
      <c r="C173"/>
      <c r="D173"/>
      <c r="E173"/>
      <c r="F173"/>
      <c r="G173"/>
      <c r="H173"/>
      <c r="I173"/>
      <c r="J173"/>
      <c r="K173"/>
      <c r="L173"/>
      <c r="M173"/>
      <c r="N173"/>
      <c r="O173"/>
      <c r="P173"/>
      <c r="Q173"/>
      <c r="R173"/>
      <c r="S173"/>
      <c r="T173"/>
      <c r="U173"/>
    </row>
  </sheetData>
  <mergeCells count="4">
    <mergeCell ref="E1:N1"/>
    <mergeCell ref="O1:Q1"/>
    <mergeCell ref="R1:T1"/>
    <mergeCell ref="U1:U2"/>
  </mergeCells>
  <dataValidations count="3">
    <dataValidation type="list" allowBlank="1" showInputMessage="1" showErrorMessage="1" sqref="M17:M173">
      <formula1>$W$4:$W$6</formula1>
    </dataValidation>
    <dataValidation type="list" allowBlank="1" showInputMessage="1" showErrorMessage="1" sqref="U8:U173">
      <formula1>$W$8:$W$10</formula1>
    </dataValidation>
    <dataValidation type="list" allowBlank="1" showInputMessage="1" showErrorMessage="1" sqref="M4:M16">
      <formula1>$W$1:$Y$1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'Bush&amp;Pin_Data'!$J$4:$J$17</xm:f>
          </x14:formula1>
          <xm:sqref>R4:R173</xm:sqref>
        </x14:dataValidation>
        <x14:dataValidation type="list" allowBlank="1" showInputMessage="1" showErrorMessage="1">
          <x14:formula1>
            <xm:f>'Bush&amp;Pin_Data'!$B$4:$B$13</xm:f>
          </x14:formula1>
          <xm:sqref>O4:O173</xm:sqref>
        </x14:dataValidation>
        <x14:dataValidation type="list" allowBlank="1" showInputMessage="1" showErrorMessage="1">
          <x14:formula1>
            <xm:f>OFFSET(Mat_Macro!$E$3:$E$17,0,,COUNTIF(Material_list,"&lt;&gt;X"))</xm:f>
          </x14:formula1>
          <xm:sqref>N4:N16</xm:sqref>
        </x14:dataValidation>
        <x14:dataValidation type="list" allowBlank="1" showInputMessage="1" showErrorMessage="1">
          <x14:formula1>
            <xm:f>Materials!$A$6:$A$7</xm:f>
          </x14:formula1>
          <xm:sqref>N17:N173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E18"/>
  <sheetViews>
    <sheetView showGridLines="0" workbookViewId="0">
      <selection activeCell="C8" sqref="C8"/>
    </sheetView>
  </sheetViews>
  <sheetFormatPr baseColWidth="10" defaultColWidth="11.42578125" defaultRowHeight="15" x14ac:dyDescent="0.25"/>
  <cols>
    <col min="1" max="1" width="27" customWidth="1"/>
    <col min="2" max="2" width="26.140625" customWidth="1"/>
    <col min="3" max="3" width="14" bestFit="1" customWidth="1"/>
    <col min="4" max="4" width="16.28515625" bestFit="1" customWidth="1"/>
    <col min="5" max="5" width="32.5703125" bestFit="1" customWidth="1"/>
    <col min="6" max="6" width="17.7109375" customWidth="1"/>
    <col min="7" max="7" width="13.5703125" customWidth="1"/>
    <col min="8" max="8" width="13.140625" customWidth="1"/>
    <col min="9" max="9" width="13.28515625" bestFit="1" customWidth="1"/>
    <col min="10" max="10" width="12.85546875" customWidth="1"/>
    <col min="11" max="11" width="13.28515625" bestFit="1" customWidth="1"/>
  </cols>
  <sheetData>
    <row r="2" spans="1:5" x14ac:dyDescent="0.25">
      <c r="A2" s="61" t="s">
        <v>19</v>
      </c>
      <c r="B2" s="62"/>
      <c r="C2" s="62"/>
      <c r="D2" s="62"/>
      <c r="E2" s="63"/>
    </row>
    <row r="3" spans="1:5" x14ac:dyDescent="0.25">
      <c r="A3" s="47" t="s">
        <v>20</v>
      </c>
      <c r="B3" s="47" t="s">
        <v>21</v>
      </c>
      <c r="C3" s="47" t="s">
        <v>22</v>
      </c>
      <c r="D3" s="47" t="s">
        <v>23</v>
      </c>
      <c r="E3" s="47" t="s">
        <v>110</v>
      </c>
    </row>
    <row r="4" spans="1:5" x14ac:dyDescent="0.25">
      <c r="A4" s="3" t="s">
        <v>147</v>
      </c>
      <c r="B4" s="3" t="s">
        <v>147</v>
      </c>
      <c r="C4" s="3" t="s">
        <v>148</v>
      </c>
      <c r="D4" s="3" t="s">
        <v>149</v>
      </c>
      <c r="E4" s="3" t="s">
        <v>113</v>
      </c>
    </row>
    <row r="5" spans="1:5" x14ac:dyDescent="0.25">
      <c r="A5" s="3" t="s">
        <v>150</v>
      </c>
      <c r="B5" s="3" t="s">
        <v>150</v>
      </c>
      <c r="C5" s="3"/>
      <c r="D5" s="3" t="s">
        <v>149</v>
      </c>
      <c r="E5" s="3" t="s">
        <v>113</v>
      </c>
    </row>
    <row r="6" spans="1:5" x14ac:dyDescent="0.25">
      <c r="A6" s="3" t="s">
        <v>151</v>
      </c>
      <c r="B6" s="3" t="s">
        <v>151</v>
      </c>
      <c r="C6" s="3" t="s">
        <v>152</v>
      </c>
      <c r="D6" s="3" t="s">
        <v>149</v>
      </c>
      <c r="E6" s="3" t="s">
        <v>111</v>
      </c>
    </row>
    <row r="7" spans="1:5" ht="15" customHeight="1" x14ac:dyDescent="0.25">
      <c r="A7" s="3" t="s">
        <v>153</v>
      </c>
      <c r="B7" s="3" t="s">
        <v>153</v>
      </c>
      <c r="C7" s="3" t="s">
        <v>154</v>
      </c>
      <c r="D7" s="3" t="s">
        <v>149</v>
      </c>
      <c r="E7" s="3" t="s">
        <v>112</v>
      </c>
    </row>
    <row r="8" spans="1:5" ht="15" customHeight="1" x14ac:dyDescent="0.25">
      <c r="A8" s="8"/>
      <c r="B8" s="3"/>
      <c r="C8" s="3"/>
      <c r="D8" s="3"/>
      <c r="E8" s="3"/>
    </row>
    <row r="9" spans="1:5" x14ac:dyDescent="0.25">
      <c r="A9" s="8"/>
      <c r="B9" s="3"/>
      <c r="C9" s="3"/>
      <c r="D9" s="3"/>
      <c r="E9" s="3"/>
    </row>
    <row r="10" spans="1:5" x14ac:dyDescent="0.25">
      <c r="A10" s="8"/>
      <c r="B10" s="3"/>
      <c r="C10" s="3"/>
      <c r="D10" s="3"/>
      <c r="E10" s="3"/>
    </row>
    <row r="11" spans="1:5" x14ac:dyDescent="0.25">
      <c r="A11" s="8"/>
      <c r="B11" s="3"/>
      <c r="C11" s="3"/>
      <c r="D11" s="3"/>
      <c r="E11" s="3"/>
    </row>
    <row r="12" spans="1:5" x14ac:dyDescent="0.25">
      <c r="A12" s="8"/>
      <c r="B12" s="3"/>
      <c r="C12" s="3"/>
      <c r="D12" s="3"/>
      <c r="E12" s="3"/>
    </row>
    <row r="13" spans="1:5" x14ac:dyDescent="0.25">
      <c r="A13" s="8"/>
      <c r="B13" s="3"/>
      <c r="C13" s="3"/>
      <c r="D13" s="3"/>
      <c r="E13" s="3"/>
    </row>
    <row r="14" spans="1:5" x14ac:dyDescent="0.25">
      <c r="A14" s="8"/>
      <c r="B14" s="3"/>
      <c r="C14" s="3"/>
      <c r="D14" s="3"/>
      <c r="E14" s="3"/>
    </row>
    <row r="15" spans="1:5" x14ac:dyDescent="0.25">
      <c r="A15" s="8"/>
      <c r="B15" s="3"/>
      <c r="C15" s="3"/>
      <c r="D15" s="3"/>
      <c r="E15" s="3"/>
    </row>
    <row r="16" spans="1:5" x14ac:dyDescent="0.25">
      <c r="A16" s="8"/>
      <c r="B16" s="3"/>
      <c r="C16" s="3"/>
      <c r="D16" s="3"/>
      <c r="E16" s="3"/>
    </row>
    <row r="17" spans="1:5" x14ac:dyDescent="0.25">
      <c r="A17" s="8"/>
      <c r="B17" s="3"/>
      <c r="C17" s="3"/>
      <c r="D17" s="3"/>
      <c r="E17" s="3"/>
    </row>
    <row r="18" spans="1:5" x14ac:dyDescent="0.25">
      <c r="A18" s="8"/>
      <c r="B18" s="3"/>
      <c r="C18" s="3"/>
      <c r="D18" s="3"/>
      <c r="E18" s="3"/>
    </row>
  </sheetData>
  <mergeCells count="1">
    <mergeCell ref="A2:E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B3:E17"/>
  <sheetViews>
    <sheetView workbookViewId="0">
      <selection activeCell="H7" sqref="H7"/>
    </sheetView>
  </sheetViews>
  <sheetFormatPr baseColWidth="10" defaultRowHeight="15" x14ac:dyDescent="0.25"/>
  <sheetData>
    <row r="3" spans="2:5" x14ac:dyDescent="0.25">
      <c r="B3" s="3">
        <v>1</v>
      </c>
      <c r="C3" s="3" t="str">
        <f>Materials!A4</f>
        <v>Ti-6Al-4V_ab_Annealed_Bar</v>
      </c>
      <c r="D3" s="3">
        <f>IF(C3=0,MAX(B3:B17)+1,B3)</f>
        <v>1</v>
      </c>
      <c r="E3" s="3" t="str">
        <f>IFERROR(VLOOKUP(SMALL($D$3:$D$17,B3),$B$3:$C$17,2,FALSE),"X")</f>
        <v>Ti-6Al-4V_ab_Annealed_Bar</v>
      </c>
    </row>
    <row r="4" spans="2:5" x14ac:dyDescent="0.25">
      <c r="B4" s="3">
        <v>2</v>
      </c>
      <c r="C4" s="3" t="str">
        <f>Materials!A5</f>
        <v>A286-Cres_Bar</v>
      </c>
      <c r="D4" s="3">
        <f t="shared" ref="D4:D17" si="0">IF(C4=0,MAX(B4:B18)+1,B4)</f>
        <v>2</v>
      </c>
      <c r="E4" s="3" t="str">
        <f t="shared" ref="E4:E17" si="1">IFERROR(VLOOKUP(SMALL($D$3:$D$17,B4),$B$3:$C$17,2,FALSE),"X")</f>
        <v>A286-Cres_Bar</v>
      </c>
    </row>
    <row r="5" spans="2:5" x14ac:dyDescent="0.25">
      <c r="B5" s="3">
        <v>3</v>
      </c>
      <c r="C5" s="3" t="str">
        <f>Materials!A6</f>
        <v>7050_T7451_Plate</v>
      </c>
      <c r="D5" s="3">
        <f t="shared" si="0"/>
        <v>3</v>
      </c>
      <c r="E5" s="3" t="str">
        <f t="shared" si="1"/>
        <v>7050_T7451_Plate</v>
      </c>
    </row>
    <row r="6" spans="2:5" x14ac:dyDescent="0.25">
      <c r="B6" s="3">
        <v>4</v>
      </c>
      <c r="C6" s="3" t="str">
        <f>Materials!A7</f>
        <v>7175_T7351_Plate</v>
      </c>
      <c r="D6" s="3">
        <f t="shared" si="0"/>
        <v>4</v>
      </c>
      <c r="E6" s="3" t="str">
        <f t="shared" si="1"/>
        <v>7175_T7351_Plate</v>
      </c>
    </row>
    <row r="7" spans="2:5" x14ac:dyDescent="0.25">
      <c r="B7" s="3">
        <v>5</v>
      </c>
      <c r="C7" s="3">
        <f>Materials!A8</f>
        <v>0</v>
      </c>
      <c r="D7" s="3">
        <f t="shared" si="0"/>
        <v>16</v>
      </c>
      <c r="E7" s="3" t="str">
        <f t="shared" si="1"/>
        <v>X</v>
      </c>
    </row>
    <row r="8" spans="2:5" x14ac:dyDescent="0.25">
      <c r="B8" s="3">
        <v>6</v>
      </c>
      <c r="C8" s="3">
        <f>Materials!A9</f>
        <v>0</v>
      </c>
      <c r="D8" s="3">
        <f t="shared" si="0"/>
        <v>16</v>
      </c>
      <c r="E8" s="3" t="str">
        <f t="shared" si="1"/>
        <v>X</v>
      </c>
    </row>
    <row r="9" spans="2:5" x14ac:dyDescent="0.25">
      <c r="B9" s="3">
        <v>7</v>
      </c>
      <c r="C9" s="3">
        <f>Materials!A10</f>
        <v>0</v>
      </c>
      <c r="D9" s="3">
        <f t="shared" si="0"/>
        <v>16</v>
      </c>
      <c r="E9" s="3" t="str">
        <f t="shared" si="1"/>
        <v>X</v>
      </c>
    </row>
    <row r="10" spans="2:5" x14ac:dyDescent="0.25">
      <c r="B10" s="3">
        <v>8</v>
      </c>
      <c r="C10" s="3">
        <f>Materials!A11</f>
        <v>0</v>
      </c>
      <c r="D10" s="3">
        <f t="shared" si="0"/>
        <v>16</v>
      </c>
      <c r="E10" s="3" t="str">
        <f t="shared" si="1"/>
        <v>X</v>
      </c>
    </row>
    <row r="11" spans="2:5" x14ac:dyDescent="0.25">
      <c r="B11" s="3">
        <v>9</v>
      </c>
      <c r="C11" s="3">
        <f>Materials!A12</f>
        <v>0</v>
      </c>
      <c r="D11" s="3">
        <f t="shared" si="0"/>
        <v>16</v>
      </c>
      <c r="E11" s="3" t="str">
        <f t="shared" si="1"/>
        <v>X</v>
      </c>
    </row>
    <row r="12" spans="2:5" x14ac:dyDescent="0.25">
      <c r="B12" s="3">
        <v>10</v>
      </c>
      <c r="C12" s="3">
        <f>Materials!A13</f>
        <v>0</v>
      </c>
      <c r="D12" s="3">
        <f t="shared" si="0"/>
        <v>16</v>
      </c>
      <c r="E12" s="3" t="str">
        <f t="shared" si="1"/>
        <v>X</v>
      </c>
    </row>
    <row r="13" spans="2:5" x14ac:dyDescent="0.25">
      <c r="B13" s="3">
        <v>11</v>
      </c>
      <c r="C13" s="3">
        <f>Materials!A14</f>
        <v>0</v>
      </c>
      <c r="D13" s="3">
        <f t="shared" si="0"/>
        <v>16</v>
      </c>
      <c r="E13" s="3" t="str">
        <f t="shared" si="1"/>
        <v>X</v>
      </c>
    </row>
    <row r="14" spans="2:5" x14ac:dyDescent="0.25">
      <c r="B14" s="3">
        <v>12</v>
      </c>
      <c r="C14" s="3">
        <f>Materials!A15</f>
        <v>0</v>
      </c>
      <c r="D14" s="3">
        <f t="shared" si="0"/>
        <v>16</v>
      </c>
      <c r="E14" s="3" t="str">
        <f t="shared" si="1"/>
        <v>X</v>
      </c>
    </row>
    <row r="15" spans="2:5" x14ac:dyDescent="0.25">
      <c r="B15" s="3">
        <v>13</v>
      </c>
      <c r="C15" s="3">
        <f>Materials!A16</f>
        <v>0</v>
      </c>
      <c r="D15" s="3">
        <f t="shared" si="0"/>
        <v>16</v>
      </c>
      <c r="E15" s="3" t="str">
        <f t="shared" si="1"/>
        <v>X</v>
      </c>
    </row>
    <row r="16" spans="2:5" x14ac:dyDescent="0.25">
      <c r="B16" s="3">
        <v>14</v>
      </c>
      <c r="C16" s="3">
        <f>Materials!A17</f>
        <v>0</v>
      </c>
      <c r="D16" s="3">
        <f t="shared" si="0"/>
        <v>16</v>
      </c>
      <c r="E16" s="3" t="str">
        <f t="shared" si="1"/>
        <v>X</v>
      </c>
    </row>
    <row r="17" spans="2:5" x14ac:dyDescent="0.25">
      <c r="B17" s="3">
        <v>15</v>
      </c>
      <c r="C17" s="3">
        <f>Materials!A18</f>
        <v>0</v>
      </c>
      <c r="D17" s="3">
        <f t="shared" si="0"/>
        <v>16</v>
      </c>
      <c r="E17" s="3" t="str">
        <f t="shared" si="1"/>
        <v>X</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2:E148"/>
  <sheetViews>
    <sheetView showGridLines="0" workbookViewId="0">
      <selection activeCell="F21" sqref="F21"/>
    </sheetView>
  </sheetViews>
  <sheetFormatPr baseColWidth="10" defaultColWidth="11.42578125" defaultRowHeight="15" x14ac:dyDescent="0.25"/>
  <cols>
    <col min="1" max="1" width="44.42578125" bestFit="1" customWidth="1"/>
    <col min="2" max="2" width="27.85546875" bestFit="1" customWidth="1"/>
    <col min="3" max="3" width="15.7109375" bestFit="1" customWidth="1"/>
    <col min="4" max="4" width="16.28515625" bestFit="1" customWidth="1"/>
    <col min="5" max="6" width="32.5703125" bestFit="1" customWidth="1"/>
  </cols>
  <sheetData>
    <row r="2" spans="1:5" x14ac:dyDescent="0.25">
      <c r="A2" s="80" t="s">
        <v>155</v>
      </c>
      <c r="B2" s="80"/>
      <c r="C2" s="80"/>
      <c r="D2" s="80"/>
      <c r="E2" s="80"/>
    </row>
    <row r="3" spans="1:5" x14ac:dyDescent="0.25">
      <c r="A3" s="81" t="s">
        <v>20</v>
      </c>
      <c r="B3" s="81" t="s">
        <v>21</v>
      </c>
      <c r="C3" s="81" t="s">
        <v>22</v>
      </c>
      <c r="D3" s="81" t="s">
        <v>23</v>
      </c>
      <c r="E3" s="81" t="s">
        <v>110</v>
      </c>
    </row>
    <row r="4" spans="1:5" x14ac:dyDescent="0.25">
      <c r="A4" s="82" t="s">
        <v>156</v>
      </c>
      <c r="B4" s="83" t="s">
        <v>156</v>
      </c>
      <c r="C4" s="83" t="s">
        <v>157</v>
      </c>
      <c r="D4" s="83" t="s">
        <v>149</v>
      </c>
      <c r="E4" s="83" t="s">
        <v>158</v>
      </c>
    </row>
    <row r="5" spans="1:5" x14ac:dyDescent="0.25">
      <c r="A5" s="82" t="s">
        <v>159</v>
      </c>
      <c r="B5" s="83" t="s">
        <v>159</v>
      </c>
      <c r="C5" s="83" t="s">
        <v>160</v>
      </c>
      <c r="D5" s="83" t="s">
        <v>149</v>
      </c>
      <c r="E5" s="83" t="s">
        <v>161</v>
      </c>
    </row>
    <row r="6" spans="1:5" x14ac:dyDescent="0.25">
      <c r="A6" s="82" t="s">
        <v>162</v>
      </c>
      <c r="B6" s="83" t="s">
        <v>162</v>
      </c>
      <c r="C6" s="83" t="s">
        <v>163</v>
      </c>
      <c r="D6" s="83" t="s">
        <v>149</v>
      </c>
      <c r="E6" s="83" t="s">
        <v>164</v>
      </c>
    </row>
    <row r="7" spans="1:5" ht="15" customHeight="1" x14ac:dyDescent="0.25">
      <c r="A7" s="82" t="s">
        <v>165</v>
      </c>
      <c r="B7" s="83" t="s">
        <v>165</v>
      </c>
      <c r="C7" s="83" t="s">
        <v>166</v>
      </c>
      <c r="D7" s="83" t="s">
        <v>149</v>
      </c>
      <c r="E7" s="83" t="s">
        <v>167</v>
      </c>
    </row>
    <row r="8" spans="1:5" ht="15" customHeight="1" x14ac:dyDescent="0.25">
      <c r="A8" s="82" t="s">
        <v>168</v>
      </c>
      <c r="B8" s="83" t="s">
        <v>168</v>
      </c>
      <c r="C8" s="83" t="s">
        <v>166</v>
      </c>
      <c r="D8" s="83" t="s">
        <v>149</v>
      </c>
      <c r="E8" s="83" t="s">
        <v>169</v>
      </c>
    </row>
    <row r="9" spans="1:5" x14ac:dyDescent="0.25">
      <c r="A9" s="82" t="s">
        <v>170</v>
      </c>
      <c r="B9" s="83" t="s">
        <v>170</v>
      </c>
      <c r="C9" s="83" t="s">
        <v>171</v>
      </c>
      <c r="D9" s="83" t="s">
        <v>149</v>
      </c>
      <c r="E9" s="83" t="s">
        <v>167</v>
      </c>
    </row>
    <row r="10" spans="1:5" x14ac:dyDescent="0.25">
      <c r="A10" s="82" t="s">
        <v>172</v>
      </c>
      <c r="B10" s="83" t="s">
        <v>172</v>
      </c>
      <c r="C10" s="83" t="s">
        <v>171</v>
      </c>
      <c r="D10" s="83" t="s">
        <v>149</v>
      </c>
      <c r="E10" s="83" t="s">
        <v>169</v>
      </c>
    </row>
    <row r="11" spans="1:5" x14ac:dyDescent="0.25">
      <c r="A11" s="82" t="s">
        <v>173</v>
      </c>
      <c r="B11" s="83" t="s">
        <v>173</v>
      </c>
      <c r="C11" s="83" t="s">
        <v>174</v>
      </c>
      <c r="D11" s="83" t="s">
        <v>149</v>
      </c>
      <c r="E11" s="83" t="s">
        <v>175</v>
      </c>
    </row>
    <row r="12" spans="1:5" x14ac:dyDescent="0.25">
      <c r="A12" s="82" t="s">
        <v>176</v>
      </c>
      <c r="B12" s="83" t="s">
        <v>176</v>
      </c>
      <c r="C12" s="83" t="s">
        <v>177</v>
      </c>
      <c r="D12" s="83" t="s">
        <v>149</v>
      </c>
      <c r="E12" s="83" t="s">
        <v>175</v>
      </c>
    </row>
    <row r="13" spans="1:5" x14ac:dyDescent="0.25">
      <c r="A13" s="82" t="s">
        <v>178</v>
      </c>
      <c r="B13" s="83" t="s">
        <v>178</v>
      </c>
      <c r="C13" s="83" t="s">
        <v>179</v>
      </c>
      <c r="D13" s="83" t="s">
        <v>149</v>
      </c>
      <c r="E13" s="83" t="s">
        <v>180</v>
      </c>
    </row>
    <row r="14" spans="1:5" x14ac:dyDescent="0.25">
      <c r="A14" s="82" t="s">
        <v>181</v>
      </c>
      <c r="B14" s="83" t="s">
        <v>181</v>
      </c>
      <c r="C14" s="83" t="s">
        <v>182</v>
      </c>
      <c r="D14" s="83" t="s">
        <v>149</v>
      </c>
      <c r="E14" s="83" t="s">
        <v>183</v>
      </c>
    </row>
    <row r="15" spans="1:5" x14ac:dyDescent="0.25">
      <c r="A15" s="82" t="s">
        <v>184</v>
      </c>
      <c r="B15" s="83" t="s">
        <v>184</v>
      </c>
      <c r="C15" s="83" t="s">
        <v>185</v>
      </c>
      <c r="D15" s="83" t="s">
        <v>149</v>
      </c>
      <c r="E15" s="83" t="s">
        <v>186</v>
      </c>
    </row>
    <row r="16" spans="1:5" x14ac:dyDescent="0.25">
      <c r="A16" s="82" t="s">
        <v>187</v>
      </c>
      <c r="B16" s="83" t="s">
        <v>187</v>
      </c>
      <c r="C16" s="83" t="s">
        <v>188</v>
      </c>
      <c r="D16" s="83" t="s">
        <v>149</v>
      </c>
      <c r="E16" s="83" t="s">
        <v>189</v>
      </c>
    </row>
    <row r="17" spans="1:5" x14ac:dyDescent="0.25">
      <c r="A17" s="82" t="s">
        <v>190</v>
      </c>
      <c r="B17" s="83" t="s">
        <v>190</v>
      </c>
      <c r="C17" s="83" t="s">
        <v>191</v>
      </c>
      <c r="D17" s="83" t="s">
        <v>149</v>
      </c>
      <c r="E17" s="83" t="s">
        <v>192</v>
      </c>
    </row>
    <row r="18" spans="1:5" x14ac:dyDescent="0.25">
      <c r="A18" s="82" t="s">
        <v>193</v>
      </c>
      <c r="B18" s="83" t="s">
        <v>193</v>
      </c>
      <c r="C18" s="83" t="s">
        <v>194</v>
      </c>
      <c r="D18" s="83" t="s">
        <v>149</v>
      </c>
      <c r="E18" s="83" t="s">
        <v>195</v>
      </c>
    </row>
    <row r="19" spans="1:5" x14ac:dyDescent="0.25">
      <c r="A19" s="82" t="s">
        <v>196</v>
      </c>
      <c r="B19" s="83" t="s">
        <v>196</v>
      </c>
      <c r="C19" s="83" t="s">
        <v>197</v>
      </c>
      <c r="D19" s="83" t="s">
        <v>149</v>
      </c>
      <c r="E19" s="83" t="s">
        <v>175</v>
      </c>
    </row>
    <row r="20" spans="1:5" x14ac:dyDescent="0.25">
      <c r="A20" s="82" t="s">
        <v>198</v>
      </c>
      <c r="B20" s="83" t="s">
        <v>198</v>
      </c>
      <c r="C20" s="83" t="s">
        <v>199</v>
      </c>
      <c r="D20" s="83" t="s">
        <v>149</v>
      </c>
      <c r="E20" s="83" t="s">
        <v>200</v>
      </c>
    </row>
    <row r="21" spans="1:5" x14ac:dyDescent="0.25">
      <c r="A21" s="82" t="s">
        <v>201</v>
      </c>
      <c r="B21" s="83" t="s">
        <v>201</v>
      </c>
      <c r="C21" s="83" t="s">
        <v>202</v>
      </c>
      <c r="D21" s="83" t="s">
        <v>149</v>
      </c>
      <c r="E21" s="83" t="s">
        <v>192</v>
      </c>
    </row>
    <row r="22" spans="1:5" x14ac:dyDescent="0.25">
      <c r="A22" s="82" t="s">
        <v>203</v>
      </c>
      <c r="B22" s="83" t="s">
        <v>203</v>
      </c>
      <c r="C22" s="83" t="s">
        <v>204</v>
      </c>
      <c r="D22" s="83" t="s">
        <v>149</v>
      </c>
      <c r="E22" s="83" t="s">
        <v>192</v>
      </c>
    </row>
    <row r="23" spans="1:5" x14ac:dyDescent="0.25">
      <c r="A23" s="82" t="s">
        <v>205</v>
      </c>
      <c r="B23" s="83" t="s">
        <v>205</v>
      </c>
      <c r="C23" s="83" t="s">
        <v>206</v>
      </c>
      <c r="D23" s="83" t="s">
        <v>149</v>
      </c>
      <c r="E23" s="83" t="s">
        <v>207</v>
      </c>
    </row>
    <row r="24" spans="1:5" x14ac:dyDescent="0.25">
      <c r="A24" s="82" t="s">
        <v>208</v>
      </c>
      <c r="B24" s="83" t="s">
        <v>208</v>
      </c>
      <c r="C24" s="83" t="s">
        <v>209</v>
      </c>
      <c r="D24" s="83" t="s">
        <v>149</v>
      </c>
      <c r="E24" s="83" t="s">
        <v>210</v>
      </c>
    </row>
    <row r="25" spans="1:5" x14ac:dyDescent="0.25">
      <c r="A25" s="82" t="s">
        <v>211</v>
      </c>
      <c r="B25" s="83" t="s">
        <v>211</v>
      </c>
      <c r="C25" s="83" t="s">
        <v>212</v>
      </c>
      <c r="D25" s="83" t="s">
        <v>149</v>
      </c>
      <c r="E25" s="83" t="s">
        <v>213</v>
      </c>
    </row>
    <row r="26" spans="1:5" x14ac:dyDescent="0.25">
      <c r="A26" s="82" t="s">
        <v>214</v>
      </c>
      <c r="B26" s="83" t="s">
        <v>214</v>
      </c>
      <c r="C26" s="83" t="s">
        <v>215</v>
      </c>
      <c r="D26" s="83" t="s">
        <v>149</v>
      </c>
      <c r="E26" s="83" t="s">
        <v>213</v>
      </c>
    </row>
    <row r="27" spans="1:5" x14ac:dyDescent="0.25">
      <c r="A27" s="82" t="s">
        <v>216</v>
      </c>
      <c r="B27" s="83" t="s">
        <v>216</v>
      </c>
      <c r="C27" s="83" t="s">
        <v>217</v>
      </c>
      <c r="D27" s="83" t="s">
        <v>149</v>
      </c>
      <c r="E27" s="83" t="s">
        <v>175</v>
      </c>
    </row>
    <row r="28" spans="1:5" x14ac:dyDescent="0.25">
      <c r="A28" s="82" t="s">
        <v>218</v>
      </c>
      <c r="B28" s="83" t="s">
        <v>218</v>
      </c>
      <c r="C28" s="83" t="s">
        <v>219</v>
      </c>
      <c r="D28" s="83" t="s">
        <v>149</v>
      </c>
      <c r="E28" s="83" t="s">
        <v>220</v>
      </c>
    </row>
    <row r="29" spans="1:5" x14ac:dyDescent="0.25">
      <c r="A29" s="82" t="s">
        <v>221</v>
      </c>
      <c r="B29" s="83" t="s">
        <v>221</v>
      </c>
      <c r="C29" s="83" t="s">
        <v>222</v>
      </c>
      <c r="D29" s="83" t="s">
        <v>149</v>
      </c>
      <c r="E29" s="83" t="s">
        <v>223</v>
      </c>
    </row>
    <row r="30" spans="1:5" x14ac:dyDescent="0.25">
      <c r="A30" s="82" t="s">
        <v>224</v>
      </c>
      <c r="B30" s="83" t="s">
        <v>224</v>
      </c>
      <c r="C30" s="83" t="s">
        <v>225</v>
      </c>
      <c r="D30" s="83" t="s">
        <v>149</v>
      </c>
      <c r="E30" s="83" t="s">
        <v>226</v>
      </c>
    </row>
    <row r="31" spans="1:5" x14ac:dyDescent="0.25">
      <c r="A31" s="82" t="s">
        <v>227</v>
      </c>
      <c r="B31" s="83" t="s">
        <v>227</v>
      </c>
      <c r="C31" s="83" t="s">
        <v>228</v>
      </c>
      <c r="D31" s="83" t="s">
        <v>149</v>
      </c>
      <c r="E31" s="83" t="s">
        <v>161</v>
      </c>
    </row>
    <row r="32" spans="1:5" x14ac:dyDescent="0.25">
      <c r="A32" s="82" t="s">
        <v>229</v>
      </c>
      <c r="B32" s="83" t="s">
        <v>229</v>
      </c>
      <c r="C32" s="83" t="s">
        <v>230</v>
      </c>
      <c r="D32" s="83" t="s">
        <v>149</v>
      </c>
      <c r="E32" s="83" t="s">
        <v>231</v>
      </c>
    </row>
    <row r="33" spans="1:5" x14ac:dyDescent="0.25">
      <c r="A33" s="82" t="s">
        <v>232</v>
      </c>
      <c r="B33" s="83" t="s">
        <v>232</v>
      </c>
      <c r="C33" s="83" t="s">
        <v>233</v>
      </c>
      <c r="D33" s="83" t="s">
        <v>149</v>
      </c>
      <c r="E33" s="83" t="s">
        <v>234</v>
      </c>
    </row>
    <row r="34" spans="1:5" x14ac:dyDescent="0.25">
      <c r="A34" s="82" t="s">
        <v>235</v>
      </c>
      <c r="B34" s="83" t="s">
        <v>235</v>
      </c>
      <c r="C34" s="83" t="s">
        <v>236</v>
      </c>
      <c r="D34" s="83" t="s">
        <v>149</v>
      </c>
      <c r="E34" s="83" t="s">
        <v>237</v>
      </c>
    </row>
    <row r="35" spans="1:5" x14ac:dyDescent="0.25">
      <c r="A35" s="82" t="s">
        <v>238</v>
      </c>
      <c r="B35" s="83" t="s">
        <v>238</v>
      </c>
      <c r="C35" s="83" t="s">
        <v>239</v>
      </c>
      <c r="D35" s="83" t="s">
        <v>149</v>
      </c>
      <c r="E35" s="83" t="s">
        <v>240</v>
      </c>
    </row>
    <row r="36" spans="1:5" x14ac:dyDescent="0.25">
      <c r="A36" s="82" t="s">
        <v>241</v>
      </c>
      <c r="B36" s="83" t="s">
        <v>241</v>
      </c>
      <c r="C36" s="83" t="s">
        <v>242</v>
      </c>
      <c r="D36" s="83" t="s">
        <v>149</v>
      </c>
      <c r="E36" s="83" t="s">
        <v>243</v>
      </c>
    </row>
    <row r="37" spans="1:5" x14ac:dyDescent="0.25">
      <c r="A37" s="82" t="s">
        <v>244</v>
      </c>
      <c r="B37" s="83" t="s">
        <v>244</v>
      </c>
      <c r="C37" s="83" t="s">
        <v>245</v>
      </c>
      <c r="D37" s="83" t="s">
        <v>149</v>
      </c>
      <c r="E37" s="83" t="s">
        <v>246</v>
      </c>
    </row>
    <row r="38" spans="1:5" x14ac:dyDescent="0.25">
      <c r="A38" s="82" t="s">
        <v>247</v>
      </c>
      <c r="B38" s="83" t="s">
        <v>247</v>
      </c>
      <c r="C38" s="83" t="s">
        <v>248</v>
      </c>
      <c r="D38" s="83" t="s">
        <v>149</v>
      </c>
      <c r="E38" s="83" t="s">
        <v>175</v>
      </c>
    </row>
    <row r="39" spans="1:5" x14ac:dyDescent="0.25">
      <c r="A39" s="82" t="s">
        <v>249</v>
      </c>
      <c r="B39" s="83" t="s">
        <v>249</v>
      </c>
      <c r="C39" s="83" t="s">
        <v>250</v>
      </c>
      <c r="D39" s="83" t="s">
        <v>149</v>
      </c>
      <c r="E39" s="83" t="s">
        <v>210</v>
      </c>
    </row>
    <row r="40" spans="1:5" x14ac:dyDescent="0.25">
      <c r="A40" s="82" t="s">
        <v>251</v>
      </c>
      <c r="B40" s="83" t="s">
        <v>251</v>
      </c>
      <c r="C40" s="83" t="s">
        <v>252</v>
      </c>
      <c r="D40" s="83" t="s">
        <v>149</v>
      </c>
      <c r="E40" s="83" t="s">
        <v>253</v>
      </c>
    </row>
    <row r="41" spans="1:5" x14ac:dyDescent="0.25">
      <c r="A41" s="82" t="s">
        <v>254</v>
      </c>
      <c r="B41" s="83" t="s">
        <v>254</v>
      </c>
      <c r="C41" s="83" t="s">
        <v>255</v>
      </c>
      <c r="D41" s="83" t="s">
        <v>149</v>
      </c>
      <c r="E41" s="83" t="s">
        <v>256</v>
      </c>
    </row>
    <row r="42" spans="1:5" x14ac:dyDescent="0.25">
      <c r="A42" s="82" t="s">
        <v>257</v>
      </c>
      <c r="B42" s="83" t="s">
        <v>257</v>
      </c>
      <c r="C42" s="83" t="s">
        <v>152</v>
      </c>
      <c r="D42" s="83" t="s">
        <v>149</v>
      </c>
      <c r="E42" s="83" t="s">
        <v>111</v>
      </c>
    </row>
    <row r="43" spans="1:5" x14ac:dyDescent="0.25">
      <c r="A43" s="82" t="s">
        <v>258</v>
      </c>
      <c r="B43" s="83" t="s">
        <v>258</v>
      </c>
      <c r="C43" s="83" t="s">
        <v>259</v>
      </c>
      <c r="D43" s="83" t="s">
        <v>149</v>
      </c>
      <c r="E43" s="83" t="s">
        <v>111</v>
      </c>
    </row>
    <row r="44" spans="1:5" x14ac:dyDescent="0.25">
      <c r="A44" s="82" t="s">
        <v>260</v>
      </c>
      <c r="B44" s="83" t="s">
        <v>260</v>
      </c>
      <c r="C44" s="83" t="s">
        <v>259</v>
      </c>
      <c r="D44" s="83" t="s">
        <v>149</v>
      </c>
      <c r="E44" s="83" t="s">
        <v>111</v>
      </c>
    </row>
    <row r="45" spans="1:5" x14ac:dyDescent="0.25">
      <c r="A45" s="82" t="s">
        <v>261</v>
      </c>
      <c r="B45" s="83" t="s">
        <v>261</v>
      </c>
      <c r="C45" s="83" t="s">
        <v>262</v>
      </c>
      <c r="D45" s="83" t="s">
        <v>149</v>
      </c>
      <c r="E45" s="83" t="s">
        <v>263</v>
      </c>
    </row>
    <row r="46" spans="1:5" x14ac:dyDescent="0.25">
      <c r="A46" s="82" t="s">
        <v>264</v>
      </c>
      <c r="B46" s="83" t="s">
        <v>264</v>
      </c>
      <c r="C46" s="83" t="s">
        <v>265</v>
      </c>
      <c r="D46" s="83" t="s">
        <v>149</v>
      </c>
      <c r="E46" s="83" t="s">
        <v>266</v>
      </c>
    </row>
    <row r="47" spans="1:5" x14ac:dyDescent="0.25">
      <c r="A47" s="82" t="s">
        <v>267</v>
      </c>
      <c r="B47" s="83" t="s">
        <v>267</v>
      </c>
      <c r="C47" s="83" t="s">
        <v>262</v>
      </c>
      <c r="D47" s="83" t="s">
        <v>149</v>
      </c>
      <c r="E47" s="83" t="s">
        <v>263</v>
      </c>
    </row>
    <row r="48" spans="1:5" x14ac:dyDescent="0.25">
      <c r="A48" s="82" t="s">
        <v>268</v>
      </c>
      <c r="B48" s="83" t="s">
        <v>268</v>
      </c>
      <c r="C48" s="83" t="s">
        <v>269</v>
      </c>
      <c r="D48" s="83" t="s">
        <v>149</v>
      </c>
      <c r="E48" s="83" t="s">
        <v>270</v>
      </c>
    </row>
    <row r="49" spans="1:5" x14ac:dyDescent="0.25">
      <c r="A49" s="82" t="s">
        <v>271</v>
      </c>
      <c r="B49" s="83" t="s">
        <v>271</v>
      </c>
      <c r="C49" s="83" t="s">
        <v>272</v>
      </c>
      <c r="D49" s="83" t="s">
        <v>149</v>
      </c>
      <c r="E49" s="83" t="s">
        <v>273</v>
      </c>
    </row>
    <row r="50" spans="1:5" x14ac:dyDescent="0.25">
      <c r="A50" s="82" t="s">
        <v>274</v>
      </c>
      <c r="B50" s="83" t="s">
        <v>274</v>
      </c>
      <c r="C50" s="83" t="s">
        <v>275</v>
      </c>
      <c r="D50" s="83" t="s">
        <v>149</v>
      </c>
      <c r="E50" s="83" t="s">
        <v>276</v>
      </c>
    </row>
    <row r="51" spans="1:5" x14ac:dyDescent="0.25">
      <c r="A51" s="82" t="s">
        <v>277</v>
      </c>
      <c r="B51" s="83" t="s">
        <v>277</v>
      </c>
      <c r="C51" s="83" t="s">
        <v>278</v>
      </c>
      <c r="D51" s="83" t="s">
        <v>149</v>
      </c>
      <c r="E51" s="83" t="s">
        <v>111</v>
      </c>
    </row>
    <row r="52" spans="1:5" x14ac:dyDescent="0.25">
      <c r="A52" s="82" t="s">
        <v>151</v>
      </c>
      <c r="B52" s="83" t="s">
        <v>151</v>
      </c>
      <c r="C52" s="83" t="s">
        <v>152</v>
      </c>
      <c r="D52" s="83" t="s">
        <v>149</v>
      </c>
      <c r="E52" s="83" t="s">
        <v>111</v>
      </c>
    </row>
    <row r="53" spans="1:5" x14ac:dyDescent="0.25">
      <c r="A53" s="82" t="s">
        <v>279</v>
      </c>
      <c r="B53" s="83" t="s">
        <v>279</v>
      </c>
      <c r="C53" s="83" t="s">
        <v>280</v>
      </c>
      <c r="D53" s="83" t="s">
        <v>149</v>
      </c>
      <c r="E53" s="83" t="s">
        <v>281</v>
      </c>
    </row>
    <row r="54" spans="1:5" x14ac:dyDescent="0.25">
      <c r="A54" s="82" t="s">
        <v>282</v>
      </c>
      <c r="B54" s="83" t="s">
        <v>282</v>
      </c>
      <c r="C54" s="83" t="s">
        <v>278</v>
      </c>
      <c r="D54" s="83" t="s">
        <v>149</v>
      </c>
      <c r="E54" s="83" t="s">
        <v>273</v>
      </c>
    </row>
    <row r="55" spans="1:5" x14ac:dyDescent="0.25">
      <c r="A55" s="82" t="s">
        <v>283</v>
      </c>
      <c r="B55" s="83" t="s">
        <v>283</v>
      </c>
      <c r="C55" s="83"/>
      <c r="D55" s="83" t="s">
        <v>149</v>
      </c>
      <c r="E55" s="83" t="s">
        <v>273</v>
      </c>
    </row>
    <row r="56" spans="1:5" x14ac:dyDescent="0.25">
      <c r="A56" s="82" t="s">
        <v>284</v>
      </c>
      <c r="B56" s="83" t="s">
        <v>284</v>
      </c>
      <c r="C56" s="83" t="s">
        <v>265</v>
      </c>
      <c r="D56" s="83" t="s">
        <v>149</v>
      </c>
      <c r="E56" s="83" t="s">
        <v>266</v>
      </c>
    </row>
    <row r="57" spans="1:5" x14ac:dyDescent="0.25">
      <c r="A57" s="82" t="s">
        <v>285</v>
      </c>
      <c r="B57" s="83" t="s">
        <v>285</v>
      </c>
      <c r="C57" s="83" t="s">
        <v>286</v>
      </c>
      <c r="D57" s="83" t="s">
        <v>149</v>
      </c>
      <c r="E57" s="83" t="s">
        <v>281</v>
      </c>
    </row>
    <row r="58" spans="1:5" x14ac:dyDescent="0.25">
      <c r="A58" s="82" t="s">
        <v>287</v>
      </c>
      <c r="B58" s="83" t="s">
        <v>287</v>
      </c>
      <c r="C58" s="83" t="s">
        <v>288</v>
      </c>
      <c r="D58" s="83" t="s">
        <v>149</v>
      </c>
      <c r="E58" s="83" t="s">
        <v>289</v>
      </c>
    </row>
    <row r="59" spans="1:5" x14ac:dyDescent="0.25">
      <c r="A59" s="82" t="s">
        <v>290</v>
      </c>
      <c r="B59" s="83" t="s">
        <v>290</v>
      </c>
      <c r="C59" s="83" t="s">
        <v>272</v>
      </c>
      <c r="D59" s="83" t="s">
        <v>149</v>
      </c>
      <c r="E59" s="83" t="s">
        <v>273</v>
      </c>
    </row>
    <row r="60" spans="1:5" x14ac:dyDescent="0.25">
      <c r="A60" s="82" t="s">
        <v>291</v>
      </c>
      <c r="B60" s="83" t="s">
        <v>291</v>
      </c>
      <c r="C60" s="83" t="s">
        <v>292</v>
      </c>
      <c r="D60" s="83" t="s">
        <v>149</v>
      </c>
      <c r="E60" s="83" t="s">
        <v>293</v>
      </c>
    </row>
    <row r="61" spans="1:5" x14ac:dyDescent="0.25">
      <c r="A61" s="82" t="s">
        <v>294</v>
      </c>
      <c r="B61" s="83" t="s">
        <v>294</v>
      </c>
      <c r="C61" s="83" t="s">
        <v>295</v>
      </c>
      <c r="D61" s="83" t="s">
        <v>149</v>
      </c>
      <c r="E61" s="83" t="s">
        <v>192</v>
      </c>
    </row>
    <row r="62" spans="1:5" x14ac:dyDescent="0.25">
      <c r="A62" s="82" t="s">
        <v>296</v>
      </c>
      <c r="B62" s="83" t="s">
        <v>296</v>
      </c>
      <c r="C62" s="83" t="s">
        <v>297</v>
      </c>
      <c r="D62" s="83" t="s">
        <v>149</v>
      </c>
      <c r="E62" s="83" t="s">
        <v>298</v>
      </c>
    </row>
    <row r="63" spans="1:5" x14ac:dyDescent="0.25">
      <c r="A63" s="82" t="s">
        <v>299</v>
      </c>
      <c r="B63" s="83" t="s">
        <v>299</v>
      </c>
      <c r="C63" s="83" t="s">
        <v>300</v>
      </c>
      <c r="D63" s="83" t="s">
        <v>149</v>
      </c>
      <c r="E63" s="83" t="s">
        <v>301</v>
      </c>
    </row>
    <row r="64" spans="1:5" x14ac:dyDescent="0.25">
      <c r="A64" s="82" t="s">
        <v>302</v>
      </c>
      <c r="B64" s="83" t="s">
        <v>302</v>
      </c>
      <c r="C64" s="83" t="s">
        <v>303</v>
      </c>
      <c r="D64" s="83" t="s">
        <v>149</v>
      </c>
      <c r="E64" s="83" t="s">
        <v>304</v>
      </c>
    </row>
    <row r="65" spans="1:5" x14ac:dyDescent="0.25">
      <c r="A65" s="82" t="s">
        <v>305</v>
      </c>
      <c r="B65" s="83" t="s">
        <v>305</v>
      </c>
      <c r="C65" s="83" t="s">
        <v>306</v>
      </c>
      <c r="D65" s="83" t="s">
        <v>149</v>
      </c>
      <c r="E65" s="83" t="s">
        <v>307</v>
      </c>
    </row>
    <row r="66" spans="1:5" x14ac:dyDescent="0.25">
      <c r="A66" s="82" t="s">
        <v>308</v>
      </c>
      <c r="B66" s="83" t="s">
        <v>308</v>
      </c>
      <c r="C66" s="83" t="s">
        <v>309</v>
      </c>
      <c r="D66" s="83" t="s">
        <v>149</v>
      </c>
      <c r="E66" s="83" t="s">
        <v>112</v>
      </c>
    </row>
    <row r="67" spans="1:5" x14ac:dyDescent="0.25">
      <c r="A67" s="82" t="s">
        <v>310</v>
      </c>
      <c r="B67" s="83" t="s">
        <v>310</v>
      </c>
      <c r="C67" s="83" t="s">
        <v>311</v>
      </c>
      <c r="D67" s="83" t="s">
        <v>149</v>
      </c>
      <c r="E67" s="83" t="s">
        <v>312</v>
      </c>
    </row>
    <row r="68" spans="1:5" x14ac:dyDescent="0.25">
      <c r="A68" s="82" t="s">
        <v>313</v>
      </c>
      <c r="B68" s="83" t="s">
        <v>313</v>
      </c>
      <c r="C68" s="83" t="s">
        <v>314</v>
      </c>
      <c r="D68" s="83" t="s">
        <v>149</v>
      </c>
      <c r="E68" s="83" t="s">
        <v>315</v>
      </c>
    </row>
    <row r="69" spans="1:5" x14ac:dyDescent="0.25">
      <c r="A69" s="82" t="s">
        <v>316</v>
      </c>
      <c r="B69" s="83" t="s">
        <v>316</v>
      </c>
      <c r="C69" s="83" t="s">
        <v>317</v>
      </c>
      <c r="D69" s="83" t="s">
        <v>149</v>
      </c>
      <c r="E69" s="83" t="s">
        <v>270</v>
      </c>
    </row>
    <row r="70" spans="1:5" x14ac:dyDescent="0.25">
      <c r="A70" s="82" t="s">
        <v>318</v>
      </c>
      <c r="B70" s="83" t="s">
        <v>318</v>
      </c>
      <c r="C70" s="83" t="s">
        <v>319</v>
      </c>
      <c r="D70" s="83" t="s">
        <v>149</v>
      </c>
      <c r="E70" s="83" t="s">
        <v>270</v>
      </c>
    </row>
    <row r="71" spans="1:5" x14ac:dyDescent="0.25">
      <c r="A71" s="82" t="s">
        <v>320</v>
      </c>
      <c r="B71" s="83" t="s">
        <v>320</v>
      </c>
      <c r="C71" s="83" t="s">
        <v>321</v>
      </c>
      <c r="D71" s="83" t="s">
        <v>149</v>
      </c>
      <c r="E71" s="83" t="s">
        <v>322</v>
      </c>
    </row>
    <row r="72" spans="1:5" x14ac:dyDescent="0.25">
      <c r="A72" s="82" t="s">
        <v>323</v>
      </c>
      <c r="B72" s="83" t="s">
        <v>323</v>
      </c>
      <c r="C72" s="83" t="s">
        <v>292</v>
      </c>
      <c r="D72" s="83" t="s">
        <v>149</v>
      </c>
      <c r="E72" s="83" t="s">
        <v>293</v>
      </c>
    </row>
    <row r="73" spans="1:5" x14ac:dyDescent="0.25">
      <c r="A73" s="82" t="s">
        <v>324</v>
      </c>
      <c r="B73" s="83" t="s">
        <v>324</v>
      </c>
      <c r="C73" s="83" t="s">
        <v>325</v>
      </c>
      <c r="D73" s="83" t="s">
        <v>149</v>
      </c>
      <c r="E73" s="83" t="s">
        <v>164</v>
      </c>
    </row>
    <row r="74" spans="1:5" x14ac:dyDescent="0.25">
      <c r="A74" s="82" t="s">
        <v>326</v>
      </c>
      <c r="B74" s="83" t="s">
        <v>326</v>
      </c>
      <c r="C74" s="83" t="s">
        <v>327</v>
      </c>
      <c r="D74" s="83" t="s">
        <v>149</v>
      </c>
      <c r="E74" s="83" t="s">
        <v>328</v>
      </c>
    </row>
    <row r="75" spans="1:5" x14ac:dyDescent="0.25">
      <c r="A75" s="82" t="s">
        <v>329</v>
      </c>
      <c r="B75" s="83" t="s">
        <v>329</v>
      </c>
      <c r="C75" s="83" t="s">
        <v>330</v>
      </c>
      <c r="D75" s="83" t="s">
        <v>149</v>
      </c>
      <c r="E75" s="83" t="s">
        <v>112</v>
      </c>
    </row>
    <row r="76" spans="1:5" x14ac:dyDescent="0.25">
      <c r="A76" s="82" t="s">
        <v>331</v>
      </c>
      <c r="B76" s="83" t="s">
        <v>331</v>
      </c>
      <c r="C76" s="83" t="s">
        <v>332</v>
      </c>
      <c r="D76" s="83" t="s">
        <v>149</v>
      </c>
      <c r="E76" s="83" t="s">
        <v>312</v>
      </c>
    </row>
    <row r="77" spans="1:5" x14ac:dyDescent="0.25">
      <c r="A77" s="82" t="s">
        <v>153</v>
      </c>
      <c r="B77" s="83" t="s">
        <v>153</v>
      </c>
      <c r="C77" s="83" t="s">
        <v>154</v>
      </c>
      <c r="D77" s="83" t="s">
        <v>149</v>
      </c>
      <c r="E77" s="83" t="s">
        <v>112</v>
      </c>
    </row>
    <row r="78" spans="1:5" x14ac:dyDescent="0.25">
      <c r="A78" s="82" t="s">
        <v>333</v>
      </c>
      <c r="B78" s="83" t="s">
        <v>333</v>
      </c>
      <c r="C78" s="83" t="s">
        <v>334</v>
      </c>
      <c r="D78" s="83" t="s">
        <v>149</v>
      </c>
      <c r="E78" s="83" t="s">
        <v>312</v>
      </c>
    </row>
    <row r="79" spans="1:5" x14ac:dyDescent="0.25">
      <c r="A79" s="82" t="s">
        <v>335</v>
      </c>
      <c r="B79" s="83" t="s">
        <v>335</v>
      </c>
      <c r="C79" s="83" t="s">
        <v>330</v>
      </c>
      <c r="D79" s="83" t="s">
        <v>149</v>
      </c>
      <c r="E79" s="83" t="s">
        <v>112</v>
      </c>
    </row>
    <row r="80" spans="1:5" x14ac:dyDescent="0.25">
      <c r="A80" s="82" t="s">
        <v>336</v>
      </c>
      <c r="B80" s="83" t="s">
        <v>336</v>
      </c>
      <c r="C80" s="83" t="s">
        <v>330</v>
      </c>
      <c r="D80" s="83" t="s">
        <v>149</v>
      </c>
      <c r="E80" s="83" t="s">
        <v>112</v>
      </c>
    </row>
    <row r="81" spans="1:5" x14ac:dyDescent="0.25">
      <c r="A81" s="82" t="s">
        <v>337</v>
      </c>
      <c r="B81" s="83" t="s">
        <v>337</v>
      </c>
      <c r="C81" s="83" t="s">
        <v>338</v>
      </c>
      <c r="D81" s="83" t="s">
        <v>149</v>
      </c>
      <c r="E81" s="83" t="s">
        <v>312</v>
      </c>
    </row>
    <row r="82" spans="1:5" x14ac:dyDescent="0.25">
      <c r="A82" s="82" t="s">
        <v>339</v>
      </c>
      <c r="B82" s="83" t="s">
        <v>339</v>
      </c>
      <c r="C82" s="83" t="s">
        <v>340</v>
      </c>
      <c r="D82" s="83" t="s">
        <v>149</v>
      </c>
      <c r="E82" s="83" t="s">
        <v>293</v>
      </c>
    </row>
    <row r="83" spans="1:5" x14ac:dyDescent="0.25">
      <c r="A83" s="82" t="s">
        <v>341</v>
      </c>
      <c r="B83" s="83" t="s">
        <v>341</v>
      </c>
      <c r="C83" s="83"/>
      <c r="D83" s="83" t="s">
        <v>149</v>
      </c>
      <c r="E83" s="83" t="s">
        <v>342</v>
      </c>
    </row>
    <row r="84" spans="1:5" x14ac:dyDescent="0.25">
      <c r="A84" s="82" t="s">
        <v>343</v>
      </c>
      <c r="B84" s="83" t="s">
        <v>343</v>
      </c>
      <c r="C84" s="83" t="s">
        <v>292</v>
      </c>
      <c r="D84" s="83" t="s">
        <v>149</v>
      </c>
      <c r="E84" s="83" t="s">
        <v>293</v>
      </c>
    </row>
    <row r="85" spans="1:5" x14ac:dyDescent="0.25">
      <c r="A85" s="82" t="s">
        <v>344</v>
      </c>
      <c r="B85" s="83" t="s">
        <v>344</v>
      </c>
      <c r="C85" s="83" t="s">
        <v>345</v>
      </c>
      <c r="D85" s="83" t="s">
        <v>149</v>
      </c>
      <c r="E85" s="83" t="s">
        <v>346</v>
      </c>
    </row>
    <row r="86" spans="1:5" x14ac:dyDescent="0.25">
      <c r="A86" s="82" t="s">
        <v>347</v>
      </c>
      <c r="B86" s="83" t="s">
        <v>347</v>
      </c>
      <c r="C86" s="83" t="s">
        <v>348</v>
      </c>
      <c r="D86" s="83" t="s">
        <v>149</v>
      </c>
      <c r="E86" s="83" t="s">
        <v>349</v>
      </c>
    </row>
    <row r="87" spans="1:5" x14ac:dyDescent="0.25">
      <c r="A87" s="82" t="s">
        <v>350</v>
      </c>
      <c r="B87" s="83" t="s">
        <v>350</v>
      </c>
      <c r="C87" s="83" t="s">
        <v>351</v>
      </c>
      <c r="D87" s="83" t="s">
        <v>149</v>
      </c>
      <c r="E87" s="83" t="s">
        <v>231</v>
      </c>
    </row>
    <row r="88" spans="1:5" x14ac:dyDescent="0.25">
      <c r="A88" s="82" t="s">
        <v>352</v>
      </c>
      <c r="B88" s="83" t="s">
        <v>352</v>
      </c>
      <c r="C88" s="83" t="s">
        <v>353</v>
      </c>
      <c r="D88" s="83" t="s">
        <v>149</v>
      </c>
      <c r="E88" s="83" t="s">
        <v>289</v>
      </c>
    </row>
    <row r="89" spans="1:5" x14ac:dyDescent="0.25">
      <c r="A89" s="82" t="s">
        <v>354</v>
      </c>
      <c r="B89" s="83" t="s">
        <v>354</v>
      </c>
      <c r="C89" s="83" t="s">
        <v>355</v>
      </c>
      <c r="D89" s="83" t="s">
        <v>149</v>
      </c>
      <c r="E89" s="83" t="s">
        <v>112</v>
      </c>
    </row>
    <row r="90" spans="1:5" x14ac:dyDescent="0.25">
      <c r="A90" s="82" t="s">
        <v>356</v>
      </c>
      <c r="B90" s="83" t="s">
        <v>356</v>
      </c>
      <c r="C90" s="83" t="s">
        <v>357</v>
      </c>
      <c r="D90" s="83" t="s">
        <v>149</v>
      </c>
      <c r="E90" s="83" t="s">
        <v>175</v>
      </c>
    </row>
    <row r="91" spans="1:5" x14ac:dyDescent="0.25">
      <c r="A91" s="82" t="s">
        <v>358</v>
      </c>
      <c r="B91" s="83" t="s">
        <v>358</v>
      </c>
      <c r="C91" s="83" t="s">
        <v>359</v>
      </c>
      <c r="D91" s="83" t="s">
        <v>149</v>
      </c>
      <c r="E91" s="83" t="s">
        <v>360</v>
      </c>
    </row>
    <row r="92" spans="1:5" x14ac:dyDescent="0.25">
      <c r="A92" s="82" t="s">
        <v>361</v>
      </c>
      <c r="B92" s="83" t="s">
        <v>361</v>
      </c>
      <c r="C92" s="83" t="s">
        <v>362</v>
      </c>
      <c r="D92" s="83" t="s">
        <v>149</v>
      </c>
      <c r="E92" s="83" t="s">
        <v>175</v>
      </c>
    </row>
    <row r="93" spans="1:5" x14ac:dyDescent="0.25">
      <c r="A93" s="82" t="s">
        <v>150</v>
      </c>
      <c r="B93" s="83" t="s">
        <v>150</v>
      </c>
      <c r="C93" s="83"/>
      <c r="D93" s="83" t="s">
        <v>149</v>
      </c>
      <c r="E93" s="83" t="s">
        <v>363</v>
      </c>
    </row>
    <row r="94" spans="1:5" x14ac:dyDescent="0.25">
      <c r="A94" s="82" t="s">
        <v>364</v>
      </c>
      <c r="B94" s="83" t="s">
        <v>364</v>
      </c>
      <c r="C94" s="83" t="s">
        <v>365</v>
      </c>
      <c r="D94" s="83" t="s">
        <v>149</v>
      </c>
      <c r="E94" s="83" t="s">
        <v>366</v>
      </c>
    </row>
    <row r="95" spans="1:5" x14ac:dyDescent="0.25">
      <c r="A95" s="82" t="s">
        <v>367</v>
      </c>
      <c r="B95" s="83" t="s">
        <v>367</v>
      </c>
      <c r="C95" s="83" t="s">
        <v>368</v>
      </c>
      <c r="D95" s="83" t="s">
        <v>149</v>
      </c>
      <c r="E95" s="83" t="s">
        <v>366</v>
      </c>
    </row>
    <row r="96" spans="1:5" x14ac:dyDescent="0.25">
      <c r="A96" s="8" t="s">
        <v>117</v>
      </c>
      <c r="B96" s="83" t="s">
        <v>151</v>
      </c>
      <c r="C96" s="83" t="s">
        <v>152</v>
      </c>
      <c r="D96" s="83" t="s">
        <v>149</v>
      </c>
      <c r="E96" s="83" t="s">
        <v>111</v>
      </c>
    </row>
    <row r="97" spans="1:5" x14ac:dyDescent="0.25">
      <c r="A97" s="8" t="s">
        <v>118</v>
      </c>
      <c r="B97" s="83" t="s">
        <v>153</v>
      </c>
      <c r="C97" s="83" t="s">
        <v>154</v>
      </c>
      <c r="D97" s="83" t="s">
        <v>149</v>
      </c>
      <c r="E97" s="83" t="s">
        <v>112</v>
      </c>
    </row>
    <row r="98" spans="1:5" x14ac:dyDescent="0.25">
      <c r="A98" s="82" t="s">
        <v>369</v>
      </c>
      <c r="B98" s="83" t="s">
        <v>369</v>
      </c>
      <c r="C98" s="83" t="s">
        <v>370</v>
      </c>
      <c r="D98" s="83" t="s">
        <v>149</v>
      </c>
      <c r="E98" s="83" t="s">
        <v>371</v>
      </c>
    </row>
    <row r="99" spans="1:5" x14ac:dyDescent="0.25">
      <c r="A99" s="82" t="s">
        <v>372</v>
      </c>
      <c r="B99" s="83" t="s">
        <v>372</v>
      </c>
      <c r="C99" s="83"/>
      <c r="D99" s="83" t="s">
        <v>149</v>
      </c>
      <c r="E99" s="83" t="s">
        <v>371</v>
      </c>
    </row>
    <row r="100" spans="1:5" x14ac:dyDescent="0.25">
      <c r="A100" s="82" t="s">
        <v>373</v>
      </c>
      <c r="B100" s="83" t="s">
        <v>373</v>
      </c>
      <c r="C100" s="83" t="s">
        <v>374</v>
      </c>
      <c r="D100" s="83" t="s">
        <v>149</v>
      </c>
      <c r="E100" s="83" t="s">
        <v>375</v>
      </c>
    </row>
    <row r="101" spans="1:5" x14ac:dyDescent="0.25">
      <c r="A101" s="82" t="s">
        <v>376</v>
      </c>
      <c r="B101" s="83" t="s">
        <v>376</v>
      </c>
      <c r="C101" s="83" t="s">
        <v>377</v>
      </c>
      <c r="D101" s="83" t="s">
        <v>149</v>
      </c>
      <c r="E101" s="83" t="s">
        <v>378</v>
      </c>
    </row>
    <row r="102" spans="1:5" x14ac:dyDescent="0.25">
      <c r="A102" s="82" t="s">
        <v>379</v>
      </c>
      <c r="B102" s="83" t="s">
        <v>379</v>
      </c>
      <c r="C102" s="83" t="s">
        <v>380</v>
      </c>
      <c r="D102" s="83" t="s">
        <v>149</v>
      </c>
      <c r="E102" s="83" t="s">
        <v>381</v>
      </c>
    </row>
    <row r="103" spans="1:5" x14ac:dyDescent="0.25">
      <c r="A103" s="8" t="s">
        <v>115</v>
      </c>
      <c r="B103" s="83" t="s">
        <v>150</v>
      </c>
      <c r="C103" s="83"/>
      <c r="D103" s="83" t="s">
        <v>149</v>
      </c>
      <c r="E103" s="83" t="s">
        <v>113</v>
      </c>
    </row>
    <row r="104" spans="1:5" x14ac:dyDescent="0.25">
      <c r="A104" s="82" t="s">
        <v>382</v>
      </c>
      <c r="B104" s="83" t="s">
        <v>382</v>
      </c>
      <c r="C104" s="83" t="s">
        <v>383</v>
      </c>
      <c r="D104" s="83" t="s">
        <v>149</v>
      </c>
      <c r="E104" s="83" t="s">
        <v>384</v>
      </c>
    </row>
    <row r="105" spans="1:5" x14ac:dyDescent="0.25">
      <c r="A105" s="82" t="s">
        <v>385</v>
      </c>
      <c r="B105" s="83" t="s">
        <v>385</v>
      </c>
      <c r="C105" s="83" t="s">
        <v>386</v>
      </c>
      <c r="D105" s="83" t="s">
        <v>149</v>
      </c>
      <c r="E105" s="83" t="s">
        <v>231</v>
      </c>
    </row>
    <row r="106" spans="1:5" x14ac:dyDescent="0.25">
      <c r="A106" s="82" t="s">
        <v>387</v>
      </c>
      <c r="B106" s="83" t="s">
        <v>387</v>
      </c>
      <c r="C106" s="83" t="s">
        <v>388</v>
      </c>
      <c r="D106" s="83" t="s">
        <v>149</v>
      </c>
      <c r="E106" s="83" t="s">
        <v>231</v>
      </c>
    </row>
    <row r="107" spans="1:5" x14ac:dyDescent="0.25">
      <c r="A107" s="82" t="s">
        <v>389</v>
      </c>
      <c r="B107" s="83" t="s">
        <v>389</v>
      </c>
      <c r="C107" s="83" t="s">
        <v>390</v>
      </c>
      <c r="D107" s="83" t="s">
        <v>149</v>
      </c>
      <c r="E107" s="83" t="s">
        <v>112</v>
      </c>
    </row>
    <row r="108" spans="1:5" x14ac:dyDescent="0.25">
      <c r="A108" s="82" t="s">
        <v>391</v>
      </c>
      <c r="B108" s="83" t="s">
        <v>391</v>
      </c>
      <c r="C108" s="83" t="s">
        <v>390</v>
      </c>
      <c r="D108" s="83" t="s">
        <v>149</v>
      </c>
      <c r="E108" s="83" t="s">
        <v>112</v>
      </c>
    </row>
    <row r="109" spans="1:5" x14ac:dyDescent="0.25">
      <c r="A109" s="82" t="s">
        <v>392</v>
      </c>
      <c r="B109" s="83" t="s">
        <v>392</v>
      </c>
      <c r="C109" s="83" t="s">
        <v>393</v>
      </c>
      <c r="D109" s="83" t="s">
        <v>149</v>
      </c>
      <c r="E109" s="83" t="s">
        <v>266</v>
      </c>
    </row>
    <row r="110" spans="1:5" x14ac:dyDescent="0.25">
      <c r="A110" s="82" t="s">
        <v>394</v>
      </c>
      <c r="B110" s="83" t="s">
        <v>394</v>
      </c>
      <c r="C110" s="83" t="s">
        <v>395</v>
      </c>
      <c r="D110" s="83" t="s">
        <v>149</v>
      </c>
      <c r="E110" s="83" t="s">
        <v>396</v>
      </c>
    </row>
    <row r="111" spans="1:5" x14ac:dyDescent="0.25">
      <c r="A111" s="82" t="s">
        <v>397</v>
      </c>
      <c r="B111" s="83" t="s">
        <v>397</v>
      </c>
      <c r="C111" s="83" t="s">
        <v>383</v>
      </c>
      <c r="D111" s="83" t="s">
        <v>149</v>
      </c>
      <c r="E111" s="83" t="s">
        <v>384</v>
      </c>
    </row>
    <row r="112" spans="1:5" x14ac:dyDescent="0.25">
      <c r="A112" s="82" t="s">
        <v>398</v>
      </c>
      <c r="B112" s="83" t="s">
        <v>398</v>
      </c>
      <c r="C112" s="83" t="s">
        <v>399</v>
      </c>
      <c r="D112" s="83" t="s">
        <v>149</v>
      </c>
      <c r="E112" s="83" t="s">
        <v>231</v>
      </c>
    </row>
    <row r="113" spans="1:5" x14ac:dyDescent="0.25">
      <c r="A113" s="82" t="s">
        <v>400</v>
      </c>
      <c r="B113" s="83" t="s">
        <v>400</v>
      </c>
      <c r="C113" s="83" t="s">
        <v>399</v>
      </c>
      <c r="D113" s="83" t="s">
        <v>149</v>
      </c>
      <c r="E113" s="83" t="s">
        <v>231</v>
      </c>
    </row>
    <row r="114" spans="1:5" x14ac:dyDescent="0.25">
      <c r="A114" s="82" t="s">
        <v>401</v>
      </c>
      <c r="B114" s="83" t="s">
        <v>401</v>
      </c>
      <c r="C114" s="83" t="s">
        <v>402</v>
      </c>
      <c r="D114" s="83" t="s">
        <v>149</v>
      </c>
      <c r="E114" s="83" t="s">
        <v>384</v>
      </c>
    </row>
    <row r="115" spans="1:5" x14ac:dyDescent="0.25">
      <c r="A115" s="82" t="s">
        <v>403</v>
      </c>
      <c r="B115" s="83" t="s">
        <v>403</v>
      </c>
      <c r="C115" s="83" t="s">
        <v>404</v>
      </c>
      <c r="D115" s="83" t="s">
        <v>149</v>
      </c>
      <c r="E115" s="83" t="s">
        <v>384</v>
      </c>
    </row>
    <row r="116" spans="1:5" x14ac:dyDescent="0.25">
      <c r="A116" s="82" t="s">
        <v>405</v>
      </c>
      <c r="B116" s="83" t="s">
        <v>405</v>
      </c>
      <c r="C116" s="83" t="s">
        <v>406</v>
      </c>
      <c r="D116" s="83" t="s">
        <v>149</v>
      </c>
      <c r="E116" s="83" t="s">
        <v>161</v>
      </c>
    </row>
    <row r="117" spans="1:5" x14ac:dyDescent="0.25">
      <c r="A117" s="82" t="s">
        <v>407</v>
      </c>
      <c r="B117" s="83" t="s">
        <v>407</v>
      </c>
      <c r="C117" s="83" t="s">
        <v>406</v>
      </c>
      <c r="D117" s="83" t="s">
        <v>149</v>
      </c>
      <c r="E117" s="83" t="s">
        <v>161</v>
      </c>
    </row>
    <row r="118" spans="1:5" x14ac:dyDescent="0.25">
      <c r="A118" s="82" t="s">
        <v>408</v>
      </c>
      <c r="B118" s="83" t="s">
        <v>408</v>
      </c>
      <c r="C118" s="83" t="s">
        <v>409</v>
      </c>
      <c r="D118" s="83" t="s">
        <v>149</v>
      </c>
      <c r="E118" s="83" t="s">
        <v>410</v>
      </c>
    </row>
    <row r="119" spans="1:5" x14ac:dyDescent="0.25">
      <c r="A119" s="82" t="s">
        <v>411</v>
      </c>
      <c r="B119" s="83" t="s">
        <v>411</v>
      </c>
      <c r="C119" s="83" t="s">
        <v>409</v>
      </c>
      <c r="D119" s="83" t="s">
        <v>149</v>
      </c>
      <c r="E119" s="83" t="s">
        <v>161</v>
      </c>
    </row>
    <row r="120" spans="1:5" x14ac:dyDescent="0.25">
      <c r="A120" s="82" t="s">
        <v>412</v>
      </c>
      <c r="B120" s="83" t="s">
        <v>412</v>
      </c>
      <c r="C120" s="83" t="s">
        <v>413</v>
      </c>
      <c r="D120" s="83" t="s">
        <v>149</v>
      </c>
      <c r="E120" s="83" t="s">
        <v>366</v>
      </c>
    </row>
    <row r="121" spans="1:5" x14ac:dyDescent="0.25">
      <c r="A121" s="82" t="s">
        <v>414</v>
      </c>
      <c r="B121" s="83" t="s">
        <v>414</v>
      </c>
      <c r="C121" s="83" t="s">
        <v>413</v>
      </c>
      <c r="D121" s="83" t="s">
        <v>149</v>
      </c>
      <c r="E121" s="83" t="s">
        <v>366</v>
      </c>
    </row>
    <row r="122" spans="1:5" x14ac:dyDescent="0.25">
      <c r="A122" s="82" t="s">
        <v>415</v>
      </c>
      <c r="B122" s="83" t="s">
        <v>415</v>
      </c>
      <c r="C122" s="83" t="s">
        <v>416</v>
      </c>
      <c r="D122" s="83" t="s">
        <v>149</v>
      </c>
      <c r="E122" s="83" t="s">
        <v>161</v>
      </c>
    </row>
    <row r="123" spans="1:5" x14ac:dyDescent="0.25">
      <c r="A123" s="82" t="s">
        <v>417</v>
      </c>
      <c r="B123" s="83" t="s">
        <v>417</v>
      </c>
      <c r="C123" s="83" t="s">
        <v>416</v>
      </c>
      <c r="D123" s="83" t="s">
        <v>149</v>
      </c>
      <c r="E123" s="83" t="s">
        <v>161</v>
      </c>
    </row>
    <row r="124" spans="1:5" x14ac:dyDescent="0.25">
      <c r="A124" s="82" t="s">
        <v>418</v>
      </c>
      <c r="B124" s="83" t="s">
        <v>418</v>
      </c>
      <c r="C124" s="83" t="s">
        <v>419</v>
      </c>
      <c r="D124" s="83" t="s">
        <v>149</v>
      </c>
      <c r="E124" s="83" t="s">
        <v>161</v>
      </c>
    </row>
    <row r="125" spans="1:5" x14ac:dyDescent="0.25">
      <c r="A125" s="82" t="s">
        <v>420</v>
      </c>
      <c r="B125" s="83" t="s">
        <v>420</v>
      </c>
      <c r="C125" s="83" t="s">
        <v>419</v>
      </c>
      <c r="D125" s="83" t="s">
        <v>149</v>
      </c>
      <c r="E125" s="83" t="s">
        <v>161</v>
      </c>
    </row>
    <row r="126" spans="1:5" x14ac:dyDescent="0.25">
      <c r="A126" s="82" t="s">
        <v>421</v>
      </c>
      <c r="B126" s="83" t="s">
        <v>421</v>
      </c>
      <c r="C126" s="83" t="s">
        <v>422</v>
      </c>
      <c r="D126" s="83" t="s">
        <v>149</v>
      </c>
      <c r="E126" s="83" t="s">
        <v>423</v>
      </c>
    </row>
    <row r="127" spans="1:5" x14ac:dyDescent="0.25">
      <c r="A127" s="82" t="s">
        <v>424</v>
      </c>
      <c r="B127" s="83" t="s">
        <v>424</v>
      </c>
      <c r="C127" s="83" t="s">
        <v>425</v>
      </c>
      <c r="D127" s="83" t="s">
        <v>149</v>
      </c>
      <c r="E127" s="83" t="s">
        <v>266</v>
      </c>
    </row>
    <row r="128" spans="1:5" x14ac:dyDescent="0.25">
      <c r="A128" s="82" t="s">
        <v>426</v>
      </c>
      <c r="B128" s="83" t="s">
        <v>426</v>
      </c>
      <c r="C128" s="83" t="s">
        <v>427</v>
      </c>
      <c r="D128" s="83" t="s">
        <v>149</v>
      </c>
      <c r="E128" s="83" t="s">
        <v>428</v>
      </c>
    </row>
    <row r="129" spans="1:5" x14ac:dyDescent="0.25">
      <c r="A129" s="82" t="s">
        <v>429</v>
      </c>
      <c r="B129" s="83" t="s">
        <v>429</v>
      </c>
      <c r="C129" s="83" t="s">
        <v>430</v>
      </c>
      <c r="D129" s="83" t="s">
        <v>149</v>
      </c>
      <c r="E129" s="83" t="s">
        <v>112</v>
      </c>
    </row>
    <row r="130" spans="1:5" x14ac:dyDescent="0.25">
      <c r="A130" s="82" t="s">
        <v>431</v>
      </c>
      <c r="B130" s="83" t="s">
        <v>431</v>
      </c>
      <c r="C130" s="83" t="s">
        <v>432</v>
      </c>
      <c r="D130" s="83" t="s">
        <v>149</v>
      </c>
      <c r="E130" s="83" t="s">
        <v>112</v>
      </c>
    </row>
    <row r="131" spans="1:5" x14ac:dyDescent="0.25">
      <c r="A131" s="82" t="s">
        <v>433</v>
      </c>
      <c r="B131" s="83" t="s">
        <v>433</v>
      </c>
      <c r="C131" s="83" t="s">
        <v>434</v>
      </c>
      <c r="D131" s="83" t="s">
        <v>149</v>
      </c>
      <c r="E131" s="83" t="s">
        <v>161</v>
      </c>
    </row>
    <row r="132" spans="1:5" x14ac:dyDescent="0.25">
      <c r="A132" s="82" t="s">
        <v>435</v>
      </c>
      <c r="B132" s="83" t="s">
        <v>435</v>
      </c>
      <c r="C132" s="83" t="s">
        <v>436</v>
      </c>
      <c r="D132" s="83" t="s">
        <v>149</v>
      </c>
      <c r="E132" s="83" t="s">
        <v>231</v>
      </c>
    </row>
    <row r="133" spans="1:5" x14ac:dyDescent="0.25">
      <c r="A133" s="82" t="s">
        <v>437</v>
      </c>
      <c r="B133" s="83" t="s">
        <v>437</v>
      </c>
      <c r="C133" s="83" t="s">
        <v>436</v>
      </c>
      <c r="D133" s="83" t="s">
        <v>149</v>
      </c>
      <c r="E133" s="83" t="s">
        <v>231</v>
      </c>
    </row>
    <row r="134" spans="1:5" x14ac:dyDescent="0.25">
      <c r="A134" s="8" t="s">
        <v>114</v>
      </c>
      <c r="B134" s="83" t="s">
        <v>147</v>
      </c>
      <c r="C134" s="83" t="s">
        <v>148</v>
      </c>
      <c r="D134" s="83" t="s">
        <v>149</v>
      </c>
      <c r="E134" s="83" t="s">
        <v>113</v>
      </c>
    </row>
    <row r="135" spans="1:5" x14ac:dyDescent="0.25">
      <c r="A135" s="82" t="s">
        <v>147</v>
      </c>
      <c r="B135" s="83" t="s">
        <v>147</v>
      </c>
      <c r="C135" s="83" t="s">
        <v>148</v>
      </c>
      <c r="D135" s="83" t="s">
        <v>149</v>
      </c>
      <c r="E135" s="83" t="s">
        <v>161</v>
      </c>
    </row>
    <row r="136" spans="1:5" x14ac:dyDescent="0.25">
      <c r="A136" s="82" t="s">
        <v>438</v>
      </c>
      <c r="B136" s="83" t="s">
        <v>438</v>
      </c>
      <c r="C136" s="83" t="s">
        <v>439</v>
      </c>
      <c r="D136" s="83" t="s">
        <v>149</v>
      </c>
      <c r="E136" s="83" t="s">
        <v>161</v>
      </c>
    </row>
    <row r="137" spans="1:5" x14ac:dyDescent="0.25">
      <c r="A137" s="82" t="s">
        <v>440</v>
      </c>
      <c r="B137" s="83" t="s">
        <v>440</v>
      </c>
      <c r="C137" s="83" t="s">
        <v>441</v>
      </c>
      <c r="D137" s="83" t="s">
        <v>149</v>
      </c>
      <c r="E137" s="83" t="s">
        <v>112</v>
      </c>
    </row>
    <row r="138" spans="1:5" x14ac:dyDescent="0.25">
      <c r="A138" s="82" t="s">
        <v>442</v>
      </c>
      <c r="B138" s="83" t="s">
        <v>442</v>
      </c>
      <c r="C138" s="83" t="s">
        <v>443</v>
      </c>
      <c r="D138" s="83" t="s">
        <v>149</v>
      </c>
      <c r="E138" s="83" t="s">
        <v>112</v>
      </c>
    </row>
    <row r="139" spans="1:5" x14ac:dyDescent="0.25">
      <c r="A139" s="82" t="s">
        <v>444</v>
      </c>
      <c r="B139" s="83" t="s">
        <v>444</v>
      </c>
      <c r="C139" s="83" t="s">
        <v>445</v>
      </c>
      <c r="D139" s="83" t="s">
        <v>149</v>
      </c>
      <c r="E139" s="83" t="s">
        <v>428</v>
      </c>
    </row>
    <row r="140" spans="1:5" x14ac:dyDescent="0.25">
      <c r="A140" s="82" t="s">
        <v>446</v>
      </c>
      <c r="B140" s="83" t="s">
        <v>446</v>
      </c>
      <c r="C140" s="83" t="s">
        <v>447</v>
      </c>
      <c r="D140" s="83" t="s">
        <v>149</v>
      </c>
      <c r="E140" s="83" t="s">
        <v>161</v>
      </c>
    </row>
    <row r="141" spans="1:5" x14ac:dyDescent="0.25">
      <c r="A141" s="82" t="s">
        <v>448</v>
      </c>
      <c r="B141" s="83" t="s">
        <v>448</v>
      </c>
      <c r="C141" s="83" t="s">
        <v>449</v>
      </c>
      <c r="D141" s="83" t="s">
        <v>149</v>
      </c>
      <c r="E141" s="83" t="s">
        <v>112</v>
      </c>
    </row>
    <row r="142" spans="1:5" x14ac:dyDescent="0.25">
      <c r="A142" s="82" t="s">
        <v>450</v>
      </c>
      <c r="B142" s="83" t="s">
        <v>450</v>
      </c>
      <c r="C142" s="83" t="s">
        <v>451</v>
      </c>
      <c r="D142" s="83" t="s">
        <v>149</v>
      </c>
      <c r="E142" s="83" t="s">
        <v>112</v>
      </c>
    </row>
    <row r="143" spans="1:5" x14ac:dyDescent="0.25">
      <c r="A143" s="82" t="s">
        <v>452</v>
      </c>
      <c r="B143" s="83" t="s">
        <v>452</v>
      </c>
      <c r="C143" s="83" t="s">
        <v>453</v>
      </c>
      <c r="D143" s="83" t="s">
        <v>149</v>
      </c>
      <c r="E143" s="83" t="s">
        <v>454</v>
      </c>
    </row>
    <row r="144" spans="1:5" x14ac:dyDescent="0.25">
      <c r="A144" s="82" t="s">
        <v>455</v>
      </c>
      <c r="B144" s="83" t="s">
        <v>455</v>
      </c>
      <c r="C144" s="83" t="s">
        <v>456</v>
      </c>
      <c r="D144" s="83" t="s">
        <v>149</v>
      </c>
      <c r="E144" s="83" t="s">
        <v>112</v>
      </c>
    </row>
    <row r="145" spans="1:5" x14ac:dyDescent="0.25">
      <c r="A145" s="82" t="s">
        <v>457</v>
      </c>
      <c r="B145" s="83" t="s">
        <v>457</v>
      </c>
      <c r="C145" s="83" t="s">
        <v>458</v>
      </c>
      <c r="D145" s="83" t="s">
        <v>149</v>
      </c>
      <c r="E145" s="83" t="s">
        <v>112</v>
      </c>
    </row>
    <row r="146" spans="1:5" x14ac:dyDescent="0.25">
      <c r="A146" s="82" t="s">
        <v>459</v>
      </c>
      <c r="B146" s="83" t="s">
        <v>459</v>
      </c>
      <c r="C146" s="83" t="s">
        <v>460</v>
      </c>
      <c r="D146" s="83" t="s">
        <v>149</v>
      </c>
      <c r="E146" s="83" t="s">
        <v>428</v>
      </c>
    </row>
    <row r="147" spans="1:5" x14ac:dyDescent="0.25">
      <c r="A147" s="82" t="s">
        <v>461</v>
      </c>
      <c r="B147" s="83" t="s">
        <v>461</v>
      </c>
      <c r="C147" s="83" t="s">
        <v>462</v>
      </c>
      <c r="D147" s="83" t="s">
        <v>149</v>
      </c>
      <c r="E147" s="83" t="s">
        <v>428</v>
      </c>
    </row>
    <row r="148" spans="1:5" x14ac:dyDescent="0.25">
      <c r="A148" s="82" t="s">
        <v>463</v>
      </c>
      <c r="B148" s="83" t="s">
        <v>463</v>
      </c>
      <c r="C148" s="83" t="s">
        <v>464</v>
      </c>
      <c r="D148" s="83" t="s">
        <v>149</v>
      </c>
      <c r="E148" s="83" t="s">
        <v>465</v>
      </c>
    </row>
  </sheetData>
  <autoFilter ref="A3:E169">
    <sortState ref="A4:E169">
      <sortCondition ref="A3:A169"/>
    </sortState>
  </autoFilter>
  <mergeCells count="1">
    <mergeCell ref="A2:E2"/>
  </mergeCells>
  <pageMargins left="0.7" right="0.7" top="0.75" bottom="0.75" header="0.3" footer="0.3"/>
  <pageSetup paperSize="9" orientation="portrait" horizontalDpi="90" verticalDpi="9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AY63"/>
  <sheetViews>
    <sheetView showGridLines="0" zoomScale="85" zoomScaleNormal="85" workbookViewId="0">
      <selection activeCell="K20" sqref="K20"/>
    </sheetView>
  </sheetViews>
  <sheetFormatPr baseColWidth="10" defaultColWidth="11.42578125" defaultRowHeight="15" x14ac:dyDescent="0.25"/>
  <cols>
    <col min="1" max="1" width="25.7109375" customWidth="1"/>
    <col min="2" max="2" width="15.7109375" customWidth="1"/>
    <col min="3" max="3" width="20.7109375" customWidth="1"/>
    <col min="4" max="4" width="10.7109375" customWidth="1"/>
    <col min="5" max="7" width="10.7109375" style="40" customWidth="1"/>
    <col min="8" max="8" width="12.140625" style="41" bestFit="1" customWidth="1"/>
    <col min="9" max="9" width="6.7109375" bestFit="1" customWidth="1"/>
    <col min="10" max="10" width="15.28515625" bestFit="1" customWidth="1"/>
    <col min="11" max="11" width="20.7109375" customWidth="1"/>
    <col min="12" max="14" width="10.7109375" customWidth="1"/>
    <col min="15" max="16" width="20.7109375" style="42" customWidth="1"/>
    <col min="17" max="17" width="10.7109375" style="42" customWidth="1"/>
    <col min="18" max="20" width="10.7109375" customWidth="1"/>
  </cols>
  <sheetData>
    <row r="1" spans="1:20" ht="15" customHeight="1" x14ac:dyDescent="0.25">
      <c r="A1" s="8"/>
      <c r="B1" s="76" t="s">
        <v>26</v>
      </c>
      <c r="C1" s="77"/>
      <c r="D1" s="77"/>
      <c r="E1" s="77"/>
      <c r="F1" s="77"/>
      <c r="G1" s="78"/>
      <c r="H1" s="76" t="s">
        <v>27</v>
      </c>
      <c r="I1" s="78"/>
      <c r="J1" s="76" t="s">
        <v>28</v>
      </c>
      <c r="K1" s="77"/>
      <c r="L1" s="77"/>
      <c r="M1" s="78"/>
      <c r="N1" s="76" t="s">
        <v>29</v>
      </c>
      <c r="O1" s="77"/>
      <c r="P1" s="77"/>
      <c r="Q1" s="77"/>
      <c r="R1" s="77"/>
      <c r="S1" s="77"/>
      <c r="T1" s="77"/>
    </row>
    <row r="2" spans="1:20" ht="30" x14ac:dyDescent="0.25">
      <c r="A2" s="59" t="s">
        <v>30</v>
      </c>
      <c r="B2" s="79" t="s">
        <v>31</v>
      </c>
      <c r="C2" s="72" t="s">
        <v>32</v>
      </c>
      <c r="D2" s="55" t="s">
        <v>33</v>
      </c>
      <c r="E2" s="56" t="s">
        <v>34</v>
      </c>
      <c r="F2" s="56" t="s">
        <v>35</v>
      </c>
      <c r="G2" s="57" t="s">
        <v>36</v>
      </c>
      <c r="H2" s="79" t="s">
        <v>37</v>
      </c>
      <c r="I2" s="55" t="s">
        <v>38</v>
      </c>
      <c r="J2" s="79" t="s">
        <v>39</v>
      </c>
      <c r="K2" s="72" t="s">
        <v>32</v>
      </c>
      <c r="L2" s="55" t="s">
        <v>40</v>
      </c>
      <c r="M2" s="55" t="s">
        <v>41</v>
      </c>
      <c r="N2" s="79" t="s">
        <v>42</v>
      </c>
      <c r="O2" s="72" t="s">
        <v>43</v>
      </c>
      <c r="P2" s="72" t="s">
        <v>44</v>
      </c>
      <c r="Q2" s="58" t="s">
        <v>0</v>
      </c>
      <c r="R2" s="55" t="s">
        <v>45</v>
      </c>
      <c r="S2" s="55" t="s">
        <v>40</v>
      </c>
      <c r="T2" s="55" t="s">
        <v>46</v>
      </c>
    </row>
    <row r="3" spans="1:20" x14ac:dyDescent="0.25">
      <c r="A3" s="59" t="s">
        <v>47</v>
      </c>
      <c r="B3" s="79"/>
      <c r="C3" s="72"/>
      <c r="D3" s="55" t="s">
        <v>48</v>
      </c>
      <c r="E3" s="56" t="s">
        <v>49</v>
      </c>
      <c r="F3" s="56" t="s">
        <v>50</v>
      </c>
      <c r="G3" s="56" t="s">
        <v>51</v>
      </c>
      <c r="H3" s="79"/>
      <c r="I3" s="55" t="s">
        <v>52</v>
      </c>
      <c r="J3" s="79"/>
      <c r="K3" s="72"/>
      <c r="L3" s="55" t="s">
        <v>53</v>
      </c>
      <c r="M3" s="55" t="s">
        <v>54</v>
      </c>
      <c r="N3" s="79"/>
      <c r="O3" s="72"/>
      <c r="P3" s="72"/>
      <c r="Q3" s="58" t="s">
        <v>55</v>
      </c>
      <c r="R3" s="55" t="s">
        <v>56</v>
      </c>
      <c r="S3" s="55" t="s">
        <v>57</v>
      </c>
      <c r="T3" s="55" t="s">
        <v>58</v>
      </c>
    </row>
    <row r="4" spans="1:20" x14ac:dyDescent="0.25">
      <c r="A4" s="73"/>
      <c r="B4" s="8" t="s">
        <v>59</v>
      </c>
      <c r="C4" s="3" t="s">
        <v>147</v>
      </c>
      <c r="D4" s="9">
        <v>4.8259999999999996</v>
      </c>
      <c r="E4" s="9">
        <v>8.5090000000000003</v>
      </c>
      <c r="F4" s="9">
        <v>2.9844999999999997</v>
      </c>
      <c r="G4" s="9">
        <v>0</v>
      </c>
      <c r="H4" s="9" t="s">
        <v>60</v>
      </c>
      <c r="I4" s="9">
        <v>2.7690000000000001</v>
      </c>
      <c r="J4" s="8" t="s">
        <v>61</v>
      </c>
      <c r="K4" s="3" t="s">
        <v>150</v>
      </c>
      <c r="L4" s="9">
        <v>7.9654399999999992</v>
      </c>
      <c r="M4" s="9">
        <v>11.0998</v>
      </c>
      <c r="N4" s="10" t="s">
        <v>62</v>
      </c>
      <c r="O4" s="8" t="s">
        <v>63</v>
      </c>
      <c r="P4" s="8" t="s">
        <v>64</v>
      </c>
      <c r="Q4" s="9">
        <v>14.288</v>
      </c>
      <c r="R4" s="9">
        <v>10.4</v>
      </c>
      <c r="S4" s="9">
        <v>7.14</v>
      </c>
      <c r="T4" s="9">
        <v>0.255</v>
      </c>
    </row>
    <row r="5" spans="1:20" x14ac:dyDescent="0.25">
      <c r="A5" s="74"/>
      <c r="B5" s="8" t="s">
        <v>65</v>
      </c>
      <c r="C5" s="3" t="s">
        <v>147</v>
      </c>
      <c r="D5" s="9">
        <v>6.35</v>
      </c>
      <c r="E5" s="9">
        <v>10.109</v>
      </c>
      <c r="F5" s="9">
        <v>3.3654999999999999</v>
      </c>
      <c r="G5" s="9">
        <v>0</v>
      </c>
      <c r="H5" s="9" t="s">
        <v>66</v>
      </c>
      <c r="I5" s="9">
        <v>3.1749999999999998</v>
      </c>
      <c r="J5" s="11" t="s">
        <v>67</v>
      </c>
      <c r="K5" s="3" t="s">
        <v>150</v>
      </c>
      <c r="L5" s="13">
        <v>9.5529399999999995</v>
      </c>
      <c r="M5" s="13">
        <v>12.7</v>
      </c>
      <c r="N5" s="14" t="s">
        <v>68</v>
      </c>
      <c r="O5" s="8" t="s">
        <v>63</v>
      </c>
      <c r="P5" s="8" t="s">
        <v>64</v>
      </c>
      <c r="Q5" s="9">
        <v>16.667000000000002</v>
      </c>
      <c r="R5" s="9">
        <v>12.7</v>
      </c>
      <c r="S5" s="9">
        <v>8.7100000000000009</v>
      </c>
      <c r="T5" s="9">
        <v>0.255</v>
      </c>
    </row>
    <row r="6" spans="1:20" x14ac:dyDescent="0.25">
      <c r="A6" s="74"/>
      <c r="B6" s="8" t="s">
        <v>69</v>
      </c>
      <c r="C6" s="3" t="s">
        <v>147</v>
      </c>
      <c r="D6" s="9">
        <v>7.9375</v>
      </c>
      <c r="E6" s="9">
        <v>11.683999999999999</v>
      </c>
      <c r="F6" s="9">
        <v>4.1524999999999999</v>
      </c>
      <c r="G6" s="9">
        <v>0</v>
      </c>
      <c r="H6" s="9" t="s">
        <v>70</v>
      </c>
      <c r="I6" s="9">
        <v>4.3689999999999998</v>
      </c>
      <c r="J6" s="8" t="s">
        <v>71</v>
      </c>
      <c r="K6" s="3" t="s">
        <v>150</v>
      </c>
      <c r="L6" s="9">
        <v>11.14044</v>
      </c>
      <c r="M6" s="9">
        <v>14.274800000000001</v>
      </c>
      <c r="N6" s="14" t="s">
        <v>72</v>
      </c>
      <c r="O6" s="8" t="s">
        <v>63</v>
      </c>
      <c r="P6" s="8" t="s">
        <v>64</v>
      </c>
      <c r="Q6" s="9">
        <v>19.05</v>
      </c>
      <c r="R6" s="9">
        <v>14.2</v>
      </c>
      <c r="S6" s="9">
        <v>9.5299999999999994</v>
      </c>
      <c r="T6" s="9">
        <v>0.255</v>
      </c>
    </row>
    <row r="7" spans="1:20" x14ac:dyDescent="0.25">
      <c r="A7" s="74"/>
      <c r="B7" s="8" t="s">
        <v>73</v>
      </c>
      <c r="C7" s="3" t="s">
        <v>147</v>
      </c>
      <c r="D7" s="9">
        <v>9.5249999999999986</v>
      </c>
      <c r="E7" s="9">
        <v>13.284000000000001</v>
      </c>
      <c r="F7" s="9">
        <v>4.9655000000000005</v>
      </c>
      <c r="G7" s="9">
        <v>0</v>
      </c>
      <c r="H7" s="9" t="s">
        <v>74</v>
      </c>
      <c r="I7" s="9">
        <v>5.5620000000000003</v>
      </c>
      <c r="J7" s="11" t="s">
        <v>75</v>
      </c>
      <c r="K7" s="3" t="s">
        <v>150</v>
      </c>
      <c r="L7" s="9">
        <v>12.733019999999998</v>
      </c>
      <c r="M7" s="9">
        <v>15.875</v>
      </c>
      <c r="N7" s="11" t="s">
        <v>76</v>
      </c>
      <c r="O7" s="12" t="s">
        <v>63</v>
      </c>
      <c r="P7" s="12" t="s">
        <v>64</v>
      </c>
      <c r="Q7" s="13">
        <v>20.638000000000002</v>
      </c>
      <c r="R7" s="13">
        <v>16</v>
      </c>
      <c r="S7" s="13">
        <v>10.31</v>
      </c>
      <c r="T7" s="13">
        <v>0.255</v>
      </c>
    </row>
    <row r="8" spans="1:20" x14ac:dyDescent="0.25">
      <c r="A8" s="74"/>
      <c r="B8" s="8" t="s">
        <v>77</v>
      </c>
      <c r="C8" s="3" t="s">
        <v>147</v>
      </c>
      <c r="D8" s="9">
        <v>11.112499999999999</v>
      </c>
      <c r="E8" s="9">
        <v>16.459</v>
      </c>
      <c r="F8" s="9">
        <v>5.7534999999999998</v>
      </c>
      <c r="G8" s="9">
        <v>0</v>
      </c>
      <c r="H8" s="9" t="s">
        <v>78</v>
      </c>
      <c r="I8" s="9">
        <v>6.7560000000000002</v>
      </c>
      <c r="J8" s="15" t="s">
        <v>79</v>
      </c>
      <c r="K8" s="3" t="s">
        <v>150</v>
      </c>
      <c r="L8" s="9">
        <v>14.320519999999998</v>
      </c>
      <c r="M8" s="9">
        <v>17.4498</v>
      </c>
      <c r="N8" s="14" t="s">
        <v>80</v>
      </c>
      <c r="O8" s="8" t="s">
        <v>63</v>
      </c>
      <c r="P8" s="8" t="s">
        <v>64</v>
      </c>
      <c r="Q8" s="9">
        <v>23.016999999999999</v>
      </c>
      <c r="R8" s="9">
        <v>17.5</v>
      </c>
      <c r="S8" s="9">
        <v>11.1</v>
      </c>
      <c r="T8" s="9">
        <v>0.255</v>
      </c>
    </row>
    <row r="9" spans="1:20" x14ac:dyDescent="0.25">
      <c r="A9" s="74"/>
      <c r="B9" s="8" t="s">
        <v>81</v>
      </c>
      <c r="C9" s="3" t="s">
        <v>147</v>
      </c>
      <c r="D9" s="9">
        <v>12.7</v>
      </c>
      <c r="E9" s="9">
        <v>18.033999999999999</v>
      </c>
      <c r="F9" s="9">
        <v>6.5404999999999998</v>
      </c>
      <c r="G9" s="9">
        <v>0</v>
      </c>
      <c r="H9" s="9" t="s">
        <v>82</v>
      </c>
      <c r="I9" s="9">
        <v>9.1180000000000003</v>
      </c>
      <c r="J9" s="15" t="s">
        <v>83</v>
      </c>
      <c r="K9" s="3" t="s">
        <v>150</v>
      </c>
      <c r="L9" s="9">
        <v>15.913099999999998</v>
      </c>
      <c r="M9" s="9">
        <v>19.049999999999997</v>
      </c>
      <c r="N9" s="14" t="s">
        <v>84</v>
      </c>
      <c r="O9" s="8" t="s">
        <v>63</v>
      </c>
      <c r="P9" s="8" t="s">
        <v>64</v>
      </c>
      <c r="Q9" s="9">
        <v>25.4</v>
      </c>
      <c r="R9" s="9">
        <v>19.8</v>
      </c>
      <c r="S9" s="9">
        <v>12.7</v>
      </c>
      <c r="T9" s="9">
        <v>0.255</v>
      </c>
    </row>
    <row r="10" spans="1:20" x14ac:dyDescent="0.25">
      <c r="A10" s="74"/>
      <c r="B10" s="8" t="s">
        <v>85</v>
      </c>
      <c r="C10" s="3" t="s">
        <v>147</v>
      </c>
      <c r="D10" s="9">
        <v>14.2875</v>
      </c>
      <c r="E10" s="9">
        <v>21.209</v>
      </c>
      <c r="F10" s="9">
        <v>7.3274999999999997</v>
      </c>
      <c r="G10" s="9">
        <v>0</v>
      </c>
      <c r="H10" s="9" t="s">
        <v>86</v>
      </c>
      <c r="I10" s="9">
        <v>9.9309999999999992</v>
      </c>
      <c r="J10" s="15" t="s">
        <v>87</v>
      </c>
      <c r="K10" s="3" t="s">
        <v>150</v>
      </c>
      <c r="L10" s="9">
        <v>17.505679999999998</v>
      </c>
      <c r="M10" s="9">
        <v>20.6248</v>
      </c>
      <c r="N10" s="14" t="s">
        <v>88</v>
      </c>
      <c r="O10" s="8" t="s">
        <v>63</v>
      </c>
      <c r="P10" s="8" t="s">
        <v>64</v>
      </c>
      <c r="Q10" s="9">
        <v>27.78</v>
      </c>
      <c r="R10" s="9">
        <v>22.1</v>
      </c>
      <c r="S10" s="9">
        <v>14.27</v>
      </c>
      <c r="T10" s="9">
        <v>0.255</v>
      </c>
    </row>
    <row r="11" spans="1:20" ht="15" customHeight="1" x14ac:dyDescent="0.25">
      <c r="A11" s="74"/>
      <c r="B11" s="8" t="s">
        <v>89</v>
      </c>
      <c r="C11" s="3" t="s">
        <v>147</v>
      </c>
      <c r="D11" s="9">
        <v>15.875</v>
      </c>
      <c r="E11" s="9">
        <v>22.809000000000001</v>
      </c>
      <c r="F11" s="9">
        <v>8.115499999999999</v>
      </c>
      <c r="G11" s="9">
        <v>0</v>
      </c>
      <c r="H11" s="9" t="s">
        <v>90</v>
      </c>
      <c r="I11" s="9">
        <v>11.912000000000001</v>
      </c>
      <c r="J11" s="15" t="s">
        <v>91</v>
      </c>
      <c r="K11" s="3" t="s">
        <v>150</v>
      </c>
      <c r="L11" s="9">
        <v>20.680679999999999</v>
      </c>
      <c r="M11" s="9">
        <v>25.4</v>
      </c>
      <c r="N11" s="14" t="s">
        <v>92</v>
      </c>
      <c r="O11" s="8" t="s">
        <v>63</v>
      </c>
      <c r="P11" s="8" t="s">
        <v>64</v>
      </c>
      <c r="Q11" s="9">
        <v>30.163</v>
      </c>
      <c r="R11" s="9">
        <v>24.6</v>
      </c>
      <c r="S11" s="9">
        <v>15.88</v>
      </c>
      <c r="T11" s="9">
        <v>0.255</v>
      </c>
    </row>
    <row r="12" spans="1:20" x14ac:dyDescent="0.25">
      <c r="A12" s="74"/>
      <c r="B12" s="8" t="s">
        <v>93</v>
      </c>
      <c r="C12" s="3" t="s">
        <v>147</v>
      </c>
      <c r="D12" s="9">
        <v>19.049999999999997</v>
      </c>
      <c r="E12" s="9">
        <v>25.984000000000002</v>
      </c>
      <c r="F12" s="9">
        <v>9.7155000000000005</v>
      </c>
      <c r="G12" s="9">
        <v>0</v>
      </c>
      <c r="H12" s="9" t="s">
        <v>94</v>
      </c>
      <c r="I12" s="9">
        <v>14.3</v>
      </c>
      <c r="J12" s="15" t="s">
        <v>95</v>
      </c>
      <c r="K12" s="3" t="s">
        <v>150</v>
      </c>
      <c r="L12" s="9">
        <v>23.858219999999999</v>
      </c>
      <c r="M12" s="9">
        <v>28.574999999999999</v>
      </c>
      <c r="N12" s="14" t="s">
        <v>96</v>
      </c>
      <c r="O12" s="8" t="s">
        <v>63</v>
      </c>
      <c r="P12" s="8" t="s">
        <v>64</v>
      </c>
      <c r="Q12" s="9">
        <v>36.512999999999998</v>
      </c>
      <c r="R12" s="9">
        <v>30.2</v>
      </c>
      <c r="S12" s="9">
        <v>19.05</v>
      </c>
      <c r="T12" s="9">
        <v>0.255</v>
      </c>
    </row>
    <row r="13" spans="1:20" ht="15" customHeight="1" x14ac:dyDescent="0.25">
      <c r="A13" s="74"/>
      <c r="B13" s="12" t="s">
        <v>101</v>
      </c>
      <c r="C13" s="3" t="s">
        <v>150</v>
      </c>
      <c r="D13" s="13">
        <v>9.5249999999999986</v>
      </c>
      <c r="E13" s="13">
        <v>16.356999999999999</v>
      </c>
      <c r="F13" s="13">
        <v>9.8550000000000004</v>
      </c>
      <c r="G13" s="13">
        <v>0</v>
      </c>
      <c r="H13" s="9"/>
      <c r="I13" s="9"/>
      <c r="J13" s="16" t="s">
        <v>97</v>
      </c>
      <c r="K13" s="3" t="s">
        <v>150</v>
      </c>
      <c r="L13" s="9">
        <v>9.5530000000000008</v>
      </c>
      <c r="M13" s="9">
        <v>9.5530000000000008</v>
      </c>
      <c r="N13" s="14"/>
      <c r="O13" s="8"/>
      <c r="P13" s="8"/>
      <c r="Q13" s="9"/>
      <c r="R13" s="9"/>
      <c r="S13" s="9"/>
      <c r="T13" s="9"/>
    </row>
    <row r="14" spans="1:20" ht="15" customHeight="1" x14ac:dyDescent="0.25">
      <c r="A14" s="74"/>
      <c r="B14" s="8"/>
      <c r="D14" s="9"/>
      <c r="E14" s="9"/>
      <c r="F14" s="9"/>
      <c r="G14" s="9"/>
      <c r="H14" s="9"/>
      <c r="I14" s="9"/>
      <c r="J14" s="15" t="s">
        <v>98</v>
      </c>
      <c r="K14" s="3" t="s">
        <v>150</v>
      </c>
      <c r="L14" s="9">
        <v>9.5530000000000008</v>
      </c>
      <c r="M14" s="9">
        <v>9.5530000000000008</v>
      </c>
      <c r="N14" s="14"/>
      <c r="O14" s="8"/>
      <c r="P14" s="8"/>
      <c r="Q14" s="9"/>
      <c r="R14" s="9"/>
      <c r="S14" s="9"/>
      <c r="T14" s="9"/>
    </row>
    <row r="15" spans="1:20" ht="15" customHeight="1" x14ac:dyDescent="0.25">
      <c r="A15" s="74"/>
      <c r="B15" s="8"/>
      <c r="C15" s="8"/>
      <c r="D15" s="9"/>
      <c r="E15" s="9"/>
      <c r="F15" s="9"/>
      <c r="G15" s="9"/>
      <c r="H15" s="9"/>
      <c r="I15" s="9"/>
      <c r="J15" s="15" t="s">
        <v>100</v>
      </c>
      <c r="K15" s="3" t="s">
        <v>150</v>
      </c>
      <c r="L15" s="9">
        <v>11.14</v>
      </c>
      <c r="M15" s="9">
        <v>11.14</v>
      </c>
      <c r="N15" s="14"/>
      <c r="O15" s="8"/>
      <c r="P15" s="8"/>
      <c r="Q15" s="9"/>
      <c r="R15" s="9"/>
      <c r="S15" s="9"/>
      <c r="T15" s="9"/>
    </row>
    <row r="16" spans="1:20" ht="15" customHeight="1" x14ac:dyDescent="0.25">
      <c r="A16" s="74"/>
      <c r="B16" s="8"/>
      <c r="C16" s="8"/>
      <c r="D16" s="9"/>
      <c r="E16" s="9"/>
      <c r="F16" s="9"/>
      <c r="G16" s="9"/>
      <c r="H16" s="9" t="s">
        <v>99</v>
      </c>
      <c r="I16" s="9">
        <v>2.3879999999999999</v>
      </c>
      <c r="J16" s="15" t="s">
        <v>103</v>
      </c>
      <c r="K16" s="3" t="s">
        <v>150</v>
      </c>
      <c r="L16" s="9">
        <v>11.1</v>
      </c>
      <c r="M16" s="9">
        <v>14.3</v>
      </c>
      <c r="N16" s="14"/>
      <c r="O16" s="8"/>
      <c r="P16" s="8"/>
      <c r="Q16" s="9"/>
      <c r="R16" s="9"/>
      <c r="S16" s="9"/>
      <c r="T16" s="9"/>
    </row>
    <row r="17" spans="1:20" ht="15" customHeight="1" x14ac:dyDescent="0.25">
      <c r="A17" s="74"/>
      <c r="H17" s="9" t="s">
        <v>102</v>
      </c>
      <c r="I17" s="9">
        <v>2.7690000000000001</v>
      </c>
      <c r="J17" s="15" t="s">
        <v>104</v>
      </c>
      <c r="K17" s="3" t="s">
        <v>150</v>
      </c>
      <c r="L17" s="9">
        <v>12.7</v>
      </c>
      <c r="M17" s="9">
        <v>16</v>
      </c>
      <c r="N17" s="14"/>
      <c r="O17" s="8"/>
      <c r="P17" s="8"/>
      <c r="Q17" s="9"/>
      <c r="R17" s="9"/>
      <c r="S17" s="9"/>
      <c r="T17" s="9"/>
    </row>
    <row r="18" spans="1:20" ht="15" customHeight="1" x14ac:dyDescent="0.25">
      <c r="A18" s="74"/>
      <c r="B18" s="8"/>
      <c r="C18" s="8"/>
      <c r="D18" s="9"/>
      <c r="E18" s="9"/>
      <c r="F18" s="9"/>
      <c r="G18" s="9"/>
      <c r="H18" s="9"/>
      <c r="I18" s="9"/>
      <c r="J18" s="2"/>
      <c r="K18" s="2"/>
      <c r="L18" s="2"/>
      <c r="M18" s="2"/>
      <c r="N18" s="14"/>
      <c r="O18" s="8"/>
      <c r="P18" s="8"/>
      <c r="Q18" s="9"/>
      <c r="R18" s="9"/>
      <c r="S18" s="9"/>
      <c r="T18" s="9"/>
    </row>
    <row r="19" spans="1:20" ht="15" customHeight="1" x14ac:dyDescent="0.25">
      <c r="A19" s="74"/>
      <c r="B19" s="8"/>
      <c r="C19" s="8"/>
      <c r="D19" s="9"/>
      <c r="E19" s="9"/>
      <c r="F19" s="9"/>
      <c r="G19" s="9"/>
      <c r="H19" s="9" t="s">
        <v>105</v>
      </c>
      <c r="I19" s="9">
        <v>6.35</v>
      </c>
      <c r="J19" s="15"/>
      <c r="K19" s="8"/>
      <c r="L19" s="9"/>
      <c r="M19" s="9"/>
      <c r="N19" s="14"/>
      <c r="O19" s="8"/>
      <c r="P19" s="8"/>
      <c r="Q19" s="9"/>
      <c r="R19" s="9"/>
      <c r="S19" s="9"/>
      <c r="T19" s="9"/>
    </row>
    <row r="20" spans="1:20" ht="15" customHeight="1" x14ac:dyDescent="0.25">
      <c r="A20" s="74"/>
      <c r="B20" s="8"/>
      <c r="C20" s="8"/>
      <c r="D20" s="9"/>
      <c r="E20" s="9"/>
      <c r="F20" s="9"/>
      <c r="G20" s="9"/>
      <c r="H20" s="13" t="s">
        <v>106</v>
      </c>
      <c r="I20" s="13">
        <v>11.557</v>
      </c>
      <c r="J20" s="15"/>
      <c r="K20" s="8"/>
      <c r="L20" s="9"/>
      <c r="M20" s="9"/>
      <c r="N20" s="14"/>
      <c r="O20" s="8"/>
      <c r="P20" s="8"/>
      <c r="Q20" s="9"/>
      <c r="R20" s="9"/>
      <c r="S20" s="9"/>
      <c r="T20" s="9"/>
    </row>
    <row r="21" spans="1:20" ht="15" customHeight="1" x14ac:dyDescent="0.25">
      <c r="A21" s="75"/>
      <c r="B21" s="8"/>
      <c r="C21" s="8"/>
      <c r="D21" s="9"/>
      <c r="E21" s="9"/>
      <c r="F21" s="9"/>
      <c r="G21" s="9"/>
      <c r="H21" s="9"/>
      <c r="I21" s="9"/>
      <c r="J21" s="15"/>
      <c r="K21" s="8"/>
      <c r="L21" s="9"/>
      <c r="M21" s="9"/>
      <c r="N21" s="14"/>
      <c r="O21" s="8"/>
      <c r="P21" s="8"/>
      <c r="Q21" s="9"/>
      <c r="R21" s="9"/>
      <c r="S21" s="9"/>
      <c r="T21" s="9"/>
    </row>
    <row r="22" spans="1:20" x14ac:dyDescent="0.25">
      <c r="A22" s="17"/>
      <c r="B22" s="17"/>
      <c r="C22" s="17"/>
      <c r="D22" s="18"/>
      <c r="E22" s="18"/>
      <c r="F22" s="18"/>
      <c r="G22" s="18"/>
      <c r="H22" s="18"/>
      <c r="I22" s="18"/>
      <c r="J22" s="19"/>
      <c r="K22" s="17"/>
      <c r="L22" s="18"/>
      <c r="M22" s="18"/>
      <c r="N22" s="20"/>
      <c r="O22" s="17"/>
      <c r="P22" s="17"/>
      <c r="Q22" s="18"/>
      <c r="R22" s="18"/>
      <c r="S22" s="18"/>
      <c r="T22" s="18"/>
    </row>
    <row r="23" spans="1:20" x14ac:dyDescent="0.25">
      <c r="A23" s="17"/>
      <c r="B23" s="17"/>
      <c r="C23" s="17"/>
      <c r="D23" s="18"/>
      <c r="E23" s="18"/>
      <c r="F23" s="18"/>
      <c r="G23" s="18"/>
      <c r="H23" s="18"/>
      <c r="I23" s="18"/>
      <c r="J23" s="19"/>
      <c r="K23" s="17"/>
      <c r="L23" s="18"/>
      <c r="M23" s="18"/>
      <c r="N23" s="20"/>
      <c r="O23" s="17"/>
      <c r="P23" s="17"/>
      <c r="Q23" s="18"/>
      <c r="R23" s="18"/>
      <c r="S23" s="18"/>
      <c r="T23" s="18"/>
    </row>
    <row r="24" spans="1:20" x14ac:dyDescent="0.25">
      <c r="A24" s="17"/>
      <c r="B24" s="17"/>
      <c r="C24" s="17"/>
      <c r="D24" s="18"/>
      <c r="E24" s="18"/>
      <c r="F24" s="18"/>
      <c r="G24" s="18"/>
      <c r="H24" s="18"/>
      <c r="I24" s="18"/>
      <c r="J24" s="19"/>
      <c r="K24" s="17"/>
      <c r="L24" s="18"/>
      <c r="M24" s="18"/>
      <c r="N24" s="20"/>
      <c r="O24" s="17"/>
      <c r="P24" s="17"/>
      <c r="Q24" s="18"/>
      <c r="R24" s="18"/>
      <c r="S24" s="18"/>
      <c r="T24" s="18"/>
    </row>
    <row r="25" spans="1:20" x14ac:dyDescent="0.25">
      <c r="E25"/>
      <c r="F25"/>
      <c r="G25"/>
      <c r="H25"/>
      <c r="O25"/>
      <c r="P25"/>
      <c r="Q25"/>
    </row>
    <row r="26" spans="1:20" x14ac:dyDescent="0.25">
      <c r="E26"/>
      <c r="F26"/>
      <c r="G26"/>
      <c r="H26"/>
      <c r="O26"/>
      <c r="P26"/>
      <c r="Q26"/>
    </row>
    <row r="27" spans="1:20" x14ac:dyDescent="0.25">
      <c r="E27"/>
      <c r="F27"/>
      <c r="G27"/>
      <c r="H27"/>
      <c r="O27"/>
      <c r="P27"/>
      <c r="Q27"/>
    </row>
    <row r="42" spans="1:51" x14ac:dyDescent="0.25">
      <c r="A42" s="21"/>
      <c r="B42" s="21"/>
      <c r="C42" s="21"/>
      <c r="D42" s="21"/>
      <c r="E42" s="22"/>
      <c r="F42" s="22"/>
      <c r="G42" s="22"/>
      <c r="H42" s="23"/>
      <c r="I42" s="21"/>
      <c r="J42" s="21"/>
      <c r="K42" s="21"/>
      <c r="L42" s="21"/>
      <c r="M42" s="21"/>
      <c r="N42" s="21"/>
      <c r="O42" s="24"/>
      <c r="P42" s="24"/>
      <c r="Q42" s="24"/>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row>
    <row r="43" spans="1:51" x14ac:dyDescent="0.25">
      <c r="A43" s="21"/>
      <c r="B43" s="21"/>
      <c r="C43" s="21"/>
      <c r="D43" s="21"/>
      <c r="E43" s="22"/>
      <c r="F43" s="22"/>
      <c r="G43" s="22"/>
      <c r="H43" s="23"/>
      <c r="I43" s="21"/>
      <c r="J43" s="21"/>
      <c r="K43" s="21"/>
      <c r="L43" s="21"/>
      <c r="M43" s="21"/>
      <c r="N43" s="21"/>
      <c r="O43" s="24"/>
      <c r="P43" s="24"/>
      <c r="Q43" s="24"/>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row>
    <row r="44" spans="1:51" x14ac:dyDescent="0.25">
      <c r="A44" s="21"/>
      <c r="B44" s="21"/>
      <c r="C44" s="21"/>
      <c r="D44" s="21"/>
      <c r="E44" s="22"/>
      <c r="F44" s="22"/>
      <c r="G44" s="22"/>
      <c r="H44" s="23"/>
      <c r="I44" s="21"/>
      <c r="J44" s="21"/>
      <c r="K44" s="21"/>
      <c r="L44" s="21"/>
      <c r="M44" s="21"/>
      <c r="N44" s="21"/>
      <c r="O44" s="24"/>
      <c r="P44" s="24"/>
      <c r="Q44" s="24"/>
      <c r="R44" s="21"/>
      <c r="S44" s="21"/>
      <c r="T44" s="21"/>
      <c r="U44" s="21"/>
      <c r="V44" s="21"/>
      <c r="W44" s="21"/>
      <c r="X44" s="21"/>
      <c r="Y44" s="21"/>
      <c r="Z44" s="21"/>
      <c r="AA44" s="21"/>
      <c r="AB44" s="21"/>
      <c r="AC44" s="21"/>
      <c r="AD44" s="21"/>
      <c r="AE44" s="21"/>
      <c r="AF44" s="21"/>
      <c r="AG44" s="21"/>
      <c r="AH44" s="25"/>
      <c r="AI44" s="25"/>
      <c r="AJ44" s="25"/>
      <c r="AK44" s="25"/>
      <c r="AL44" s="21"/>
      <c r="AM44" s="26"/>
      <c r="AN44" s="21"/>
      <c r="AO44" s="21"/>
      <c r="AP44" s="21"/>
      <c r="AQ44" s="21"/>
      <c r="AR44" s="21"/>
      <c r="AS44" s="21"/>
      <c r="AT44" s="21"/>
      <c r="AU44" s="21"/>
      <c r="AV44" s="21"/>
      <c r="AW44" s="21"/>
      <c r="AX44" s="21"/>
      <c r="AY44" s="21"/>
    </row>
    <row r="45" spans="1:51" x14ac:dyDescent="0.25">
      <c r="A45" s="27"/>
      <c r="B45" s="27"/>
      <c r="C45" s="27"/>
      <c r="D45" s="27"/>
      <c r="E45" s="28"/>
      <c r="F45" s="28"/>
      <c r="G45" s="28"/>
      <c r="H45" s="29"/>
      <c r="I45" s="27"/>
      <c r="J45" s="27"/>
      <c r="K45" s="27"/>
      <c r="L45" s="27"/>
      <c r="M45" s="27"/>
      <c r="N45" s="27"/>
      <c r="O45" s="30"/>
      <c r="P45" s="30"/>
      <c r="Q45" s="30"/>
      <c r="R45" s="27"/>
      <c r="S45" s="27"/>
      <c r="T45" s="27"/>
      <c r="U45" s="27"/>
      <c r="V45" s="27"/>
      <c r="W45" s="27"/>
      <c r="X45" s="27"/>
      <c r="Y45" s="27"/>
      <c r="Z45" s="27"/>
      <c r="AA45" s="27"/>
      <c r="AB45" s="27"/>
      <c r="AC45" s="27"/>
      <c r="AD45" s="27"/>
      <c r="AE45" s="27"/>
      <c r="AF45" s="21"/>
      <c r="AG45" s="21"/>
      <c r="AH45" s="31"/>
      <c r="AI45" s="31"/>
      <c r="AJ45" s="31"/>
      <c r="AK45" s="31"/>
      <c r="AL45" s="21"/>
      <c r="AM45" s="27"/>
      <c r="AN45" s="27"/>
      <c r="AO45" s="27"/>
      <c r="AP45" s="27"/>
      <c r="AQ45" s="21"/>
      <c r="AR45" s="21"/>
      <c r="AS45" s="21"/>
      <c r="AT45" s="21"/>
      <c r="AU45" s="21"/>
      <c r="AV45" s="21"/>
      <c r="AW45" s="21"/>
      <c r="AX45" s="21"/>
      <c r="AY45" s="21"/>
    </row>
    <row r="46" spans="1:51" x14ac:dyDescent="0.25">
      <c r="A46" s="32"/>
      <c r="B46" s="32"/>
      <c r="C46" s="32"/>
      <c r="D46" s="32"/>
      <c r="E46" s="33"/>
      <c r="F46" s="33"/>
      <c r="G46" s="33"/>
      <c r="H46" s="33"/>
      <c r="I46" s="32"/>
      <c r="J46" s="32"/>
      <c r="K46" s="32"/>
      <c r="L46" s="32"/>
      <c r="M46" s="32"/>
      <c r="N46" s="32"/>
      <c r="O46" s="34"/>
      <c r="P46" s="34"/>
      <c r="Q46" s="34"/>
      <c r="R46" s="32"/>
      <c r="S46" s="32"/>
      <c r="T46" s="32"/>
      <c r="U46" s="32"/>
      <c r="V46" s="32"/>
      <c r="W46" s="32"/>
      <c r="X46" s="32"/>
      <c r="Y46" s="32"/>
      <c r="Z46" s="32"/>
      <c r="AA46" s="32"/>
      <c r="AB46" s="32"/>
      <c r="AC46" s="32"/>
      <c r="AD46" s="32"/>
      <c r="AE46" s="32"/>
      <c r="AF46" s="21"/>
      <c r="AG46" s="21"/>
      <c r="AH46" s="32"/>
      <c r="AI46" s="32"/>
      <c r="AJ46" s="32"/>
      <c r="AK46" s="32"/>
      <c r="AL46" s="21"/>
      <c r="AM46" s="32"/>
      <c r="AN46" s="32"/>
      <c r="AO46" s="32"/>
      <c r="AP46" s="32"/>
      <c r="AQ46" s="32"/>
      <c r="AR46" s="21"/>
      <c r="AS46" s="21"/>
      <c r="AT46" s="21"/>
      <c r="AU46" s="21"/>
      <c r="AV46" s="21"/>
      <c r="AW46" s="21"/>
      <c r="AX46" s="21"/>
      <c r="AY46" s="21"/>
    </row>
    <row r="47" spans="1:51" x14ac:dyDescent="0.25">
      <c r="A47" s="21"/>
      <c r="B47" s="24"/>
      <c r="C47" s="35"/>
      <c r="D47" s="35"/>
      <c r="E47" s="36"/>
      <c r="F47" s="36"/>
      <c r="G47" s="36"/>
      <c r="H47" s="37"/>
      <c r="I47" s="21"/>
      <c r="J47" s="21"/>
      <c r="K47" s="21"/>
      <c r="L47" s="21"/>
      <c r="M47" s="21"/>
      <c r="N47" s="21"/>
      <c r="O47" s="24"/>
      <c r="P47" s="24"/>
      <c r="Q47" s="24"/>
      <c r="R47" s="38"/>
      <c r="S47" s="38"/>
      <c r="T47" s="38"/>
      <c r="U47" s="38"/>
      <c r="V47" s="38"/>
      <c r="W47" s="21"/>
      <c r="X47" s="38"/>
      <c r="Y47" s="25"/>
      <c r="Z47" s="39"/>
      <c r="AA47" s="39"/>
      <c r="AB47" s="21"/>
      <c r="AC47" s="21"/>
      <c r="AD47" s="21"/>
      <c r="AE47" s="21"/>
      <c r="AF47" s="21"/>
      <c r="AG47" s="21"/>
      <c r="AH47" s="21"/>
      <c r="AI47" s="24"/>
      <c r="AJ47" s="24"/>
      <c r="AK47" s="21"/>
      <c r="AL47" s="21"/>
      <c r="AM47" s="21"/>
      <c r="AN47" s="24"/>
      <c r="AO47" s="24"/>
      <c r="AP47" s="24"/>
      <c r="AQ47" s="24"/>
      <c r="AR47" s="21"/>
      <c r="AS47" s="21"/>
      <c r="AT47" s="21"/>
      <c r="AU47" s="21"/>
      <c r="AV47" s="21"/>
      <c r="AW47" s="21"/>
      <c r="AX47" s="21"/>
      <c r="AY47" s="21"/>
    </row>
    <row r="48" spans="1:51" x14ac:dyDescent="0.25">
      <c r="A48" s="21"/>
      <c r="B48" s="24"/>
      <c r="C48" s="35"/>
      <c r="D48" s="35"/>
      <c r="E48" s="36"/>
      <c r="F48" s="36"/>
      <c r="G48" s="36"/>
      <c r="H48" s="37"/>
      <c r="I48" s="21"/>
      <c r="J48" s="21"/>
      <c r="K48" s="21"/>
      <c r="L48" s="21"/>
      <c r="M48" s="21"/>
      <c r="N48" s="21"/>
      <c r="O48" s="24"/>
      <c r="P48" s="24"/>
      <c r="Q48" s="24"/>
      <c r="R48" s="38"/>
      <c r="S48" s="38"/>
      <c r="T48" s="38"/>
      <c r="U48" s="38"/>
      <c r="V48" s="38"/>
      <c r="W48" s="21"/>
      <c r="X48" s="38"/>
      <c r="Y48" s="25"/>
      <c r="Z48" s="39"/>
      <c r="AA48" s="39"/>
      <c r="AB48" s="21"/>
      <c r="AC48" s="21"/>
      <c r="AD48" s="21"/>
      <c r="AE48" s="21"/>
      <c r="AF48" s="21"/>
      <c r="AG48" s="21"/>
      <c r="AH48" s="21"/>
      <c r="AI48" s="22"/>
      <c r="AJ48" s="22"/>
      <c r="AK48" s="21"/>
      <c r="AL48" s="21"/>
      <c r="AM48" s="25"/>
      <c r="AN48" s="22"/>
      <c r="AO48" s="22"/>
      <c r="AP48" s="22"/>
      <c r="AQ48" s="22"/>
      <c r="AR48" s="21"/>
      <c r="AS48" s="21"/>
      <c r="AT48" s="21"/>
      <c r="AU48" s="21"/>
      <c r="AV48" s="21"/>
      <c r="AW48" s="21"/>
      <c r="AX48" s="21"/>
      <c r="AY48" s="21"/>
    </row>
    <row r="49" spans="1:51" x14ac:dyDescent="0.25">
      <c r="A49" s="21"/>
      <c r="B49" s="24"/>
      <c r="C49" s="35"/>
      <c r="D49" s="35"/>
      <c r="E49" s="36"/>
      <c r="F49" s="36"/>
      <c r="G49" s="36"/>
      <c r="H49" s="37"/>
      <c r="I49" s="21"/>
      <c r="J49" s="21"/>
      <c r="K49" s="21"/>
      <c r="L49" s="21"/>
      <c r="M49" s="21"/>
      <c r="N49" s="21"/>
      <c r="O49" s="24"/>
      <c r="P49" s="24"/>
      <c r="Q49" s="24"/>
      <c r="R49" s="38"/>
      <c r="S49" s="38"/>
      <c r="T49" s="38"/>
      <c r="U49" s="38"/>
      <c r="V49" s="38"/>
      <c r="W49" s="21"/>
      <c r="X49" s="38"/>
      <c r="Y49" s="25"/>
      <c r="Z49" s="39"/>
      <c r="AA49" s="39"/>
      <c r="AB49" s="21"/>
      <c r="AC49" s="21"/>
      <c r="AD49" s="21"/>
      <c r="AE49" s="21"/>
      <c r="AF49" s="21"/>
      <c r="AG49" s="21"/>
      <c r="AH49" s="21"/>
      <c r="AI49" s="22"/>
      <c r="AJ49" s="22"/>
      <c r="AK49" s="21"/>
      <c r="AL49" s="21"/>
      <c r="AM49" s="25"/>
      <c r="AN49" s="22"/>
      <c r="AO49" s="22"/>
      <c r="AP49" s="22"/>
      <c r="AQ49" s="22"/>
      <c r="AR49" s="21"/>
      <c r="AS49" s="21"/>
      <c r="AT49" s="21"/>
      <c r="AU49" s="21"/>
      <c r="AV49" s="21"/>
      <c r="AW49" s="21"/>
      <c r="AX49" s="21"/>
      <c r="AY49" s="21"/>
    </row>
    <row r="50" spans="1:51" x14ac:dyDescent="0.25">
      <c r="A50" s="21"/>
      <c r="B50" s="24"/>
      <c r="C50" s="35"/>
      <c r="D50" s="35"/>
      <c r="E50" s="36"/>
      <c r="F50" s="36"/>
      <c r="G50" s="36"/>
      <c r="H50" s="37"/>
      <c r="I50" s="21"/>
      <c r="J50" s="21"/>
      <c r="K50" s="21"/>
      <c r="L50" s="21"/>
      <c r="M50" s="21"/>
      <c r="N50" s="21"/>
      <c r="O50" s="24"/>
      <c r="P50" s="24"/>
      <c r="Q50" s="24"/>
      <c r="R50" s="38"/>
      <c r="S50" s="38"/>
      <c r="T50" s="38"/>
      <c r="U50" s="38"/>
      <c r="V50" s="38"/>
      <c r="W50" s="21"/>
      <c r="X50" s="38"/>
      <c r="Y50" s="25"/>
      <c r="Z50" s="39"/>
      <c r="AA50" s="39"/>
      <c r="AB50" s="21"/>
      <c r="AC50" s="21"/>
      <c r="AD50" s="21"/>
      <c r="AE50" s="21"/>
      <c r="AF50" s="21"/>
      <c r="AG50" s="21"/>
      <c r="AH50" s="21"/>
      <c r="AI50" s="22"/>
      <c r="AJ50" s="22"/>
      <c r="AK50" s="21"/>
      <c r="AL50" s="21"/>
      <c r="AM50" s="25"/>
      <c r="AN50" s="22"/>
      <c r="AO50" s="22"/>
      <c r="AP50" s="22"/>
      <c r="AQ50" s="22"/>
      <c r="AR50" s="21"/>
      <c r="AS50" s="21"/>
      <c r="AT50" s="21"/>
      <c r="AU50" s="21"/>
      <c r="AV50" s="21"/>
      <c r="AW50" s="21"/>
      <c r="AX50" s="21"/>
      <c r="AY50" s="21"/>
    </row>
    <row r="51" spans="1:51" x14ac:dyDescent="0.25">
      <c r="A51" s="21"/>
      <c r="B51" s="24"/>
      <c r="C51" s="35"/>
      <c r="D51" s="35"/>
      <c r="E51" s="36"/>
      <c r="F51" s="36"/>
      <c r="G51" s="36"/>
      <c r="H51" s="37"/>
      <c r="I51" s="21"/>
      <c r="J51" s="21"/>
      <c r="K51" s="21"/>
      <c r="L51" s="21"/>
      <c r="M51" s="21"/>
      <c r="N51" s="21"/>
      <c r="O51" s="24"/>
      <c r="P51" s="24"/>
      <c r="Q51" s="24"/>
      <c r="R51" s="38"/>
      <c r="S51" s="38"/>
      <c r="T51" s="38"/>
      <c r="U51" s="38"/>
      <c r="V51" s="38"/>
      <c r="W51" s="21"/>
      <c r="X51" s="38"/>
      <c r="Y51" s="25"/>
      <c r="Z51" s="39"/>
      <c r="AA51" s="39"/>
      <c r="AB51" s="21"/>
      <c r="AC51" s="21"/>
      <c r="AD51" s="21"/>
      <c r="AE51" s="21"/>
      <c r="AF51" s="21"/>
      <c r="AG51" s="21"/>
      <c r="AH51" s="21"/>
      <c r="AI51" s="22"/>
      <c r="AJ51" s="22"/>
      <c r="AK51" s="21"/>
      <c r="AL51" s="21"/>
      <c r="AM51" s="21"/>
      <c r="AN51" s="22"/>
      <c r="AO51" s="22"/>
      <c r="AP51" s="22"/>
      <c r="AQ51" s="22"/>
      <c r="AR51" s="21"/>
      <c r="AS51" s="21"/>
      <c r="AT51" s="21"/>
      <c r="AU51" s="21"/>
      <c r="AV51" s="21"/>
      <c r="AW51" s="21"/>
      <c r="AX51" s="21"/>
      <c r="AY51" s="21"/>
    </row>
    <row r="52" spans="1:51" x14ac:dyDescent="0.25">
      <c r="A52" s="21"/>
      <c r="B52" s="24"/>
      <c r="C52" s="35"/>
      <c r="D52" s="35"/>
      <c r="E52" s="36"/>
      <c r="F52" s="36"/>
      <c r="G52" s="36"/>
      <c r="H52" s="37"/>
      <c r="I52" s="21"/>
      <c r="J52" s="21"/>
      <c r="K52" s="21"/>
      <c r="L52" s="21"/>
      <c r="M52" s="21"/>
      <c r="N52" s="21"/>
      <c r="O52" s="24"/>
      <c r="P52" s="24"/>
      <c r="Q52" s="24"/>
      <c r="R52" s="38"/>
      <c r="S52" s="38"/>
      <c r="T52" s="38"/>
      <c r="U52" s="38"/>
      <c r="V52" s="38"/>
      <c r="W52" s="21"/>
      <c r="X52" s="38"/>
      <c r="Y52" s="25"/>
      <c r="Z52" s="39"/>
      <c r="AA52" s="39"/>
      <c r="AB52" s="21"/>
      <c r="AC52" s="21"/>
      <c r="AD52" s="21"/>
      <c r="AE52" s="21"/>
      <c r="AF52" s="21"/>
      <c r="AG52" s="21"/>
      <c r="AH52" s="21"/>
      <c r="AI52" s="22"/>
      <c r="AJ52" s="22"/>
      <c r="AK52" s="21"/>
      <c r="AL52" s="21"/>
      <c r="AM52" s="25"/>
      <c r="AN52" s="22"/>
      <c r="AO52" s="22"/>
      <c r="AP52" s="22"/>
      <c r="AQ52" s="22"/>
      <c r="AR52" s="21"/>
      <c r="AS52" s="21"/>
      <c r="AT52" s="21"/>
      <c r="AU52" s="21"/>
      <c r="AV52" s="21"/>
      <c r="AW52" s="21"/>
      <c r="AX52" s="21"/>
      <c r="AY52" s="21"/>
    </row>
    <row r="53" spans="1:51" x14ac:dyDescent="0.25">
      <c r="A53" s="21"/>
      <c r="B53" s="24"/>
      <c r="C53" s="35"/>
      <c r="D53" s="35"/>
      <c r="E53" s="36"/>
      <c r="F53" s="36"/>
      <c r="G53" s="36"/>
      <c r="H53" s="37"/>
      <c r="I53" s="21"/>
      <c r="J53" s="21"/>
      <c r="K53" s="21"/>
      <c r="L53" s="21"/>
      <c r="M53" s="21"/>
      <c r="N53" s="21"/>
      <c r="O53" s="24"/>
      <c r="P53" s="24"/>
      <c r="Q53" s="24"/>
      <c r="R53" s="38"/>
      <c r="S53" s="38"/>
      <c r="T53" s="38"/>
      <c r="U53" s="38"/>
      <c r="V53" s="38"/>
      <c r="W53" s="21"/>
      <c r="X53" s="38"/>
      <c r="Y53" s="25"/>
      <c r="Z53" s="39"/>
      <c r="AA53" s="39"/>
      <c r="AB53" s="21"/>
      <c r="AC53" s="21"/>
      <c r="AD53" s="21"/>
      <c r="AE53" s="21"/>
      <c r="AF53" s="21"/>
      <c r="AG53" s="21"/>
      <c r="AH53" s="21"/>
      <c r="AI53" s="22"/>
      <c r="AJ53" s="22"/>
      <c r="AK53" s="21"/>
      <c r="AL53" s="21"/>
      <c r="AM53" s="21"/>
      <c r="AN53" s="22"/>
      <c r="AO53" s="22"/>
      <c r="AP53" s="22"/>
      <c r="AQ53" s="22"/>
      <c r="AR53" s="21"/>
      <c r="AS53" s="21"/>
      <c r="AT53" s="21"/>
      <c r="AU53" s="21"/>
      <c r="AV53" s="21"/>
      <c r="AW53" s="21"/>
      <c r="AX53" s="21"/>
      <c r="AY53" s="21"/>
    </row>
    <row r="54" spans="1:51" x14ac:dyDescent="0.25">
      <c r="A54" s="21"/>
      <c r="B54" s="24"/>
      <c r="C54" s="35"/>
      <c r="D54" s="35"/>
      <c r="E54" s="36"/>
      <c r="F54" s="36"/>
      <c r="G54" s="36"/>
      <c r="H54" s="37"/>
      <c r="I54" s="21"/>
      <c r="J54" s="21"/>
      <c r="K54" s="21"/>
      <c r="L54" s="21"/>
      <c r="M54" s="21"/>
      <c r="N54" s="21"/>
      <c r="O54" s="24"/>
      <c r="P54" s="24"/>
      <c r="Q54" s="24"/>
      <c r="R54" s="38"/>
      <c r="S54" s="38"/>
      <c r="T54" s="38"/>
      <c r="U54" s="38"/>
      <c r="V54" s="38"/>
      <c r="W54" s="21"/>
      <c r="X54" s="38"/>
      <c r="Y54" s="25"/>
      <c r="Z54" s="39"/>
      <c r="AA54" s="39"/>
      <c r="AB54" s="21"/>
      <c r="AC54" s="21"/>
      <c r="AD54" s="21"/>
      <c r="AE54" s="21"/>
      <c r="AF54" s="21"/>
      <c r="AG54" s="21"/>
      <c r="AH54" s="21"/>
      <c r="AI54" s="22"/>
      <c r="AJ54" s="22"/>
      <c r="AK54" s="21"/>
      <c r="AL54" s="21"/>
      <c r="AM54" s="25"/>
      <c r="AN54" s="22"/>
      <c r="AO54" s="22"/>
      <c r="AP54" s="22"/>
      <c r="AQ54" s="22"/>
      <c r="AR54" s="21"/>
      <c r="AS54" s="21"/>
      <c r="AT54" s="21"/>
      <c r="AU54" s="21"/>
      <c r="AV54" s="21"/>
      <c r="AW54" s="21"/>
      <c r="AX54" s="21"/>
      <c r="AY54" s="21"/>
    </row>
    <row r="55" spans="1:51" x14ac:dyDescent="0.25">
      <c r="A55" s="21"/>
      <c r="B55" s="24"/>
      <c r="C55" s="35"/>
      <c r="D55" s="35"/>
      <c r="E55" s="36"/>
      <c r="F55" s="36"/>
      <c r="G55" s="36"/>
      <c r="H55" s="37"/>
      <c r="I55" s="21"/>
      <c r="J55" s="21"/>
      <c r="K55" s="21"/>
      <c r="L55" s="21"/>
      <c r="M55" s="21"/>
      <c r="N55" s="21"/>
      <c r="O55" s="24"/>
      <c r="P55" s="24"/>
      <c r="Q55" s="24"/>
      <c r="R55" s="38"/>
      <c r="S55" s="38"/>
      <c r="T55" s="38"/>
      <c r="U55" s="38"/>
      <c r="V55" s="38"/>
      <c r="W55" s="21"/>
      <c r="X55" s="38"/>
      <c r="Y55" s="25"/>
      <c r="Z55" s="39"/>
      <c r="AA55" s="39"/>
      <c r="AB55" s="21"/>
      <c r="AC55" s="21"/>
      <c r="AD55" s="21"/>
      <c r="AE55" s="21"/>
      <c r="AF55" s="21"/>
      <c r="AG55" s="21"/>
      <c r="AH55" s="21"/>
      <c r="AI55" s="24"/>
      <c r="AJ55" s="24"/>
      <c r="AK55" s="21"/>
      <c r="AL55" s="21"/>
      <c r="AM55" s="21"/>
      <c r="AN55" s="24"/>
      <c r="AO55" s="24"/>
      <c r="AP55" s="24"/>
      <c r="AQ55" s="24"/>
      <c r="AR55" s="21"/>
      <c r="AS55" s="21"/>
      <c r="AT55" s="21"/>
      <c r="AU55" s="21"/>
      <c r="AV55" s="21"/>
      <c r="AW55" s="21"/>
      <c r="AX55" s="21"/>
      <c r="AY55" s="21"/>
    </row>
    <row r="56" spans="1:51" x14ac:dyDescent="0.25">
      <c r="A56" s="21"/>
      <c r="B56" s="24"/>
      <c r="C56" s="35"/>
      <c r="D56" s="35"/>
      <c r="E56" s="36"/>
      <c r="F56" s="36"/>
      <c r="G56" s="36"/>
      <c r="H56" s="37"/>
      <c r="I56" s="21"/>
      <c r="J56" s="21"/>
      <c r="K56" s="21"/>
      <c r="L56" s="21"/>
      <c r="M56" s="21"/>
      <c r="N56" s="21"/>
      <c r="O56" s="24"/>
      <c r="P56" s="24"/>
      <c r="Q56" s="24"/>
      <c r="R56" s="38"/>
      <c r="S56" s="38"/>
      <c r="T56" s="21"/>
      <c r="U56" s="21"/>
      <c r="V56" s="21"/>
      <c r="W56" s="21"/>
      <c r="X56" s="21"/>
      <c r="Y56" s="21"/>
      <c r="Z56" s="39"/>
      <c r="AA56" s="39"/>
      <c r="AB56" s="21"/>
      <c r="AC56" s="21"/>
      <c r="AD56" s="21"/>
      <c r="AE56" s="21"/>
      <c r="AF56" s="21"/>
      <c r="AG56" s="21"/>
      <c r="AH56" s="21"/>
      <c r="AI56" s="24"/>
      <c r="AJ56" s="24"/>
      <c r="AK56" s="21"/>
      <c r="AL56" s="21"/>
      <c r="AM56" s="21"/>
      <c r="AN56" s="21"/>
      <c r="AO56" s="21"/>
      <c r="AP56" s="21"/>
      <c r="AQ56" s="21"/>
      <c r="AR56" s="21"/>
      <c r="AS56" s="21"/>
      <c r="AT56" s="21"/>
      <c r="AU56" s="21"/>
      <c r="AV56" s="21"/>
      <c r="AW56" s="21"/>
      <c r="AX56" s="21"/>
      <c r="AY56" s="21"/>
    </row>
    <row r="57" spans="1:51" x14ac:dyDescent="0.25">
      <c r="A57" s="21"/>
      <c r="B57" s="24"/>
      <c r="C57" s="35"/>
      <c r="D57" s="35"/>
      <c r="E57" s="36"/>
      <c r="F57" s="36"/>
      <c r="G57" s="36"/>
      <c r="H57" s="37"/>
      <c r="I57" s="21"/>
      <c r="J57" s="21"/>
      <c r="K57" s="21"/>
      <c r="L57" s="21"/>
      <c r="M57" s="21"/>
      <c r="N57" s="21"/>
      <c r="O57" s="24"/>
      <c r="P57" s="24"/>
      <c r="Q57" s="24"/>
      <c r="R57" s="38"/>
      <c r="S57" s="38"/>
      <c r="T57" s="21"/>
      <c r="U57" s="21"/>
      <c r="V57" s="21"/>
      <c r="W57" s="21"/>
      <c r="X57" s="21"/>
      <c r="Y57" s="21"/>
      <c r="Z57" s="39"/>
      <c r="AA57" s="39"/>
      <c r="AB57" s="21"/>
      <c r="AC57" s="21"/>
      <c r="AD57" s="21"/>
      <c r="AE57" s="21"/>
      <c r="AF57" s="21"/>
      <c r="AG57" s="21"/>
      <c r="AH57" s="21"/>
      <c r="AI57" s="24"/>
      <c r="AJ57" s="24"/>
      <c r="AK57" s="21"/>
      <c r="AL57" s="21"/>
      <c r="AM57" s="21"/>
      <c r="AN57" s="21"/>
      <c r="AO57" s="21"/>
      <c r="AP57" s="21"/>
      <c r="AQ57" s="21"/>
      <c r="AR57" s="21"/>
      <c r="AS57" s="21"/>
      <c r="AT57" s="21"/>
      <c r="AU57" s="21"/>
      <c r="AV57" s="21"/>
      <c r="AW57" s="21"/>
      <c r="AX57" s="21"/>
      <c r="AY57" s="21"/>
    </row>
    <row r="58" spans="1:51" x14ac:dyDescent="0.25">
      <c r="A58" s="21"/>
      <c r="B58" s="24"/>
      <c r="C58" s="35"/>
      <c r="D58" s="35"/>
      <c r="E58" s="36"/>
      <c r="F58" s="36"/>
      <c r="G58" s="36"/>
      <c r="H58" s="37"/>
      <c r="I58" s="21"/>
      <c r="J58" s="21"/>
      <c r="K58" s="21"/>
      <c r="L58" s="21"/>
      <c r="M58" s="21"/>
      <c r="N58" s="21"/>
      <c r="O58" s="24"/>
      <c r="P58" s="24"/>
      <c r="Q58" s="24"/>
      <c r="R58" s="38"/>
      <c r="S58" s="38"/>
      <c r="T58" s="21"/>
      <c r="U58" s="21"/>
      <c r="V58" s="21"/>
      <c r="W58" s="21"/>
      <c r="X58" s="21"/>
      <c r="Y58" s="21"/>
      <c r="Z58" s="39"/>
      <c r="AA58" s="39"/>
      <c r="AB58" s="21"/>
      <c r="AC58" s="21"/>
      <c r="AD58" s="21"/>
      <c r="AE58" s="21"/>
      <c r="AF58" s="21"/>
      <c r="AG58" s="21"/>
      <c r="AH58" s="21"/>
      <c r="AI58" s="24"/>
      <c r="AJ58" s="24"/>
      <c r="AK58" s="21"/>
      <c r="AL58" s="21"/>
      <c r="AM58" s="21"/>
      <c r="AN58" s="21"/>
      <c r="AO58" s="21"/>
      <c r="AP58" s="21"/>
      <c r="AQ58" s="21"/>
      <c r="AR58" s="21"/>
      <c r="AS58" s="21"/>
      <c r="AT58" s="21"/>
      <c r="AU58" s="21"/>
      <c r="AV58" s="21"/>
      <c r="AW58" s="21"/>
      <c r="AX58" s="21"/>
      <c r="AY58" s="21"/>
    </row>
    <row r="59" spans="1:51" x14ac:dyDescent="0.25">
      <c r="A59" s="21"/>
      <c r="B59" s="24"/>
      <c r="C59" s="35"/>
      <c r="D59" s="35"/>
      <c r="E59" s="36"/>
      <c r="F59" s="36"/>
      <c r="G59" s="36"/>
      <c r="H59" s="37"/>
      <c r="I59" s="21"/>
      <c r="J59" s="21"/>
      <c r="K59" s="21"/>
      <c r="L59" s="21"/>
      <c r="M59" s="21"/>
      <c r="N59" s="21"/>
      <c r="O59" s="24"/>
      <c r="P59" s="24"/>
      <c r="Q59" s="24"/>
      <c r="R59" s="38"/>
      <c r="S59" s="38"/>
      <c r="T59" s="21"/>
      <c r="U59" s="21"/>
      <c r="V59" s="21"/>
      <c r="W59" s="21"/>
      <c r="X59" s="21"/>
      <c r="Y59" s="21"/>
      <c r="Z59" s="39"/>
      <c r="AA59" s="39"/>
      <c r="AB59" s="21"/>
      <c r="AC59" s="21"/>
      <c r="AD59" s="21"/>
      <c r="AE59" s="21"/>
      <c r="AF59" s="21"/>
      <c r="AG59" s="21"/>
      <c r="AH59" s="21"/>
      <c r="AI59" s="24"/>
      <c r="AJ59" s="24"/>
      <c r="AK59" s="21"/>
      <c r="AL59" s="21"/>
      <c r="AM59" s="21"/>
      <c r="AN59" s="21"/>
      <c r="AO59" s="21"/>
      <c r="AP59" s="21"/>
      <c r="AQ59" s="21"/>
      <c r="AR59" s="21"/>
      <c r="AS59" s="21"/>
      <c r="AT59" s="21"/>
      <c r="AU59" s="21"/>
      <c r="AV59" s="21"/>
      <c r="AW59" s="21"/>
      <c r="AX59" s="21"/>
      <c r="AY59" s="21"/>
    </row>
    <row r="60" spans="1:51" x14ac:dyDescent="0.25">
      <c r="A60" s="21"/>
      <c r="B60" s="24"/>
      <c r="C60" s="35"/>
      <c r="D60" s="35"/>
      <c r="E60" s="36"/>
      <c r="F60" s="36"/>
      <c r="G60" s="36"/>
      <c r="H60" s="37"/>
      <c r="I60" s="21"/>
      <c r="J60" s="21"/>
      <c r="K60" s="21"/>
      <c r="L60" s="21"/>
      <c r="M60" s="21"/>
      <c r="N60" s="21"/>
      <c r="O60" s="24"/>
      <c r="P60" s="24"/>
      <c r="Q60" s="24"/>
      <c r="R60" s="38"/>
      <c r="S60" s="38"/>
      <c r="T60" s="21"/>
      <c r="U60" s="21"/>
      <c r="V60" s="21"/>
      <c r="W60" s="21"/>
      <c r="X60" s="21"/>
      <c r="Y60" s="21"/>
      <c r="Z60" s="39"/>
      <c r="AA60" s="39"/>
      <c r="AB60" s="21"/>
      <c r="AC60" s="21"/>
      <c r="AD60" s="21"/>
      <c r="AE60" s="21"/>
      <c r="AF60" s="21"/>
      <c r="AG60" s="21"/>
      <c r="AH60" s="21"/>
      <c r="AI60" s="24"/>
      <c r="AJ60" s="24"/>
      <c r="AK60" s="21"/>
      <c r="AL60" s="21"/>
      <c r="AM60" s="21"/>
      <c r="AN60" s="21"/>
      <c r="AO60" s="21"/>
      <c r="AP60" s="21"/>
      <c r="AQ60" s="21"/>
      <c r="AR60" s="21"/>
      <c r="AS60" s="21"/>
      <c r="AT60" s="21"/>
      <c r="AU60" s="21"/>
      <c r="AV60" s="21"/>
      <c r="AW60" s="21"/>
      <c r="AX60" s="21"/>
      <c r="AY60" s="21"/>
    </row>
    <row r="61" spans="1:51" x14ac:dyDescent="0.25">
      <c r="A61" s="21"/>
      <c r="B61" s="21"/>
      <c r="C61" s="21"/>
      <c r="D61" s="21"/>
      <c r="E61" s="22"/>
      <c r="F61" s="22"/>
      <c r="G61" s="22"/>
      <c r="H61" s="23"/>
      <c r="I61" s="21"/>
      <c r="J61" s="21"/>
      <c r="K61" s="21"/>
      <c r="L61" s="21"/>
      <c r="M61" s="21"/>
      <c r="N61" s="21"/>
      <c r="O61" s="24"/>
      <c r="P61" s="24"/>
      <c r="Q61" s="24"/>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row>
    <row r="62" spans="1:51" x14ac:dyDescent="0.25">
      <c r="A62" s="21"/>
      <c r="B62" s="21"/>
      <c r="C62" s="21"/>
      <c r="D62" s="21"/>
      <c r="E62" s="22"/>
      <c r="F62" s="22"/>
      <c r="G62" s="22"/>
      <c r="H62" s="23"/>
      <c r="I62" s="21"/>
      <c r="J62" s="21"/>
      <c r="K62" s="21"/>
      <c r="L62" s="21"/>
      <c r="M62" s="21"/>
      <c r="N62" s="21"/>
      <c r="O62" s="24"/>
      <c r="P62" s="24"/>
      <c r="Q62" s="24"/>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row>
    <row r="63" spans="1:51" x14ac:dyDescent="0.25">
      <c r="A63" s="21"/>
      <c r="B63" s="21"/>
      <c r="C63" s="21"/>
      <c r="D63" s="21"/>
      <c r="E63" s="22"/>
      <c r="F63" s="22"/>
      <c r="G63" s="22"/>
      <c r="H63" s="23"/>
      <c r="I63" s="21"/>
      <c r="J63" s="21"/>
      <c r="K63" s="21"/>
      <c r="L63" s="21"/>
      <c r="M63" s="21"/>
      <c r="N63" s="21"/>
      <c r="O63" s="24"/>
      <c r="P63" s="24"/>
      <c r="Q63" s="24"/>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row>
  </sheetData>
  <mergeCells count="13">
    <mergeCell ref="O2:O3"/>
    <mergeCell ref="P2:P3"/>
    <mergeCell ref="A4:A21"/>
    <mergeCell ref="B1:G1"/>
    <mergeCell ref="H1:I1"/>
    <mergeCell ref="J1:M1"/>
    <mergeCell ref="N1:T1"/>
    <mergeCell ref="B2:B3"/>
    <mergeCell ref="C2:C3"/>
    <mergeCell ref="H2:H3"/>
    <mergeCell ref="J2:J3"/>
    <mergeCell ref="K2:K3"/>
    <mergeCell ref="N2:N3"/>
  </mergeCell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1</vt:i4>
      </vt:variant>
    </vt:vector>
  </HeadingPairs>
  <TitlesOfParts>
    <vt:vector size="7" baseType="lpstr">
      <vt:lpstr>Instructions</vt:lpstr>
      <vt:lpstr>Analysis</vt:lpstr>
      <vt:lpstr>Materials</vt:lpstr>
      <vt:lpstr>Mat_Macro</vt:lpstr>
      <vt:lpstr>Material Library</vt:lpstr>
      <vt:lpstr>Bush&amp;Pin_Data</vt:lpstr>
      <vt:lpstr>Material_list</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fernando ramon sanchez moreno</dc:creator>
  <cp:lastModifiedBy>Lucas Bernacer Soriano</cp:lastModifiedBy>
  <dcterms:created xsi:type="dcterms:W3CDTF">2014-01-24T12:34:25Z</dcterms:created>
  <dcterms:modified xsi:type="dcterms:W3CDTF">2021-04-28T11:04:14Z</dcterms:modified>
</cp:coreProperties>
</file>